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unctional Requirements" sheetId="2" state="visible" r:id="rId4"/>
    <sheet name="Non-Functional Requirements" sheetId="3" state="visible" r:id="rId5"/>
    <sheet name="Prototype &amp; Use Cases" sheetId="4" state="visible" r:id="rId6"/>
    <sheet name="Unified Gap Regi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<sst xmlns="http://schemas.openxmlformats.org/spreadsheetml/2006/main" count="700" uniqueCount="462">
  <si>
    <t xml:space="preserve">CyberTrust KSA — Gap Analysis Summary</t>
  </si>
  <si>
    <t xml:space="preserve">Coverage of SRS v1.0 requirements by the delivered Django implementation</t>
  </si>
  <si>
    <t xml:space="preserve">Status</t>
  </si>
  <si>
    <t xml:space="preserve">Functional (FR)</t>
  </si>
  <si>
    <t xml:space="preserve">Non-Functional (NFR)</t>
  </si>
  <si>
    <t xml:space="preserve">Total</t>
  </si>
  <si>
    <t xml:space="preserve">Implemented</t>
  </si>
  <si>
    <t xml:space="preserve">Partial</t>
  </si>
  <si>
    <t xml:space="preserve">Broken</t>
  </si>
  <si>
    <t xml:space="preserve">Missing</t>
  </si>
  <si>
    <t xml:space="preserve">Deployment</t>
  </si>
  <si>
    <t xml:space="preserve">Process/QA</t>
  </si>
  <si>
    <t xml:space="preserve">TOTAL</t>
  </si>
  <si>
    <t xml:space="preserve">Legend</t>
  </si>
  <si>
    <t xml:space="preserve">Built and functional</t>
  </si>
  <si>
    <t xml:space="preserve">Partly built / gaps remain</t>
  </si>
  <si>
    <t xml:space="preserve">Code exists but fails or has a defect</t>
  </si>
  <si>
    <t xml:space="preserve">Not implemented at all</t>
  </si>
  <si>
    <t xml:space="preserve">Ops/infra concern, not app code</t>
  </si>
  <si>
    <t xml:space="preserve">Organizational process item</t>
  </si>
  <si>
    <t xml:space="preserve">Functional Requirements</t>
  </si>
  <si>
    <t xml:space="preserve">CyberTrust KSA — Requirements Traceability Matrix (SRS v1.0 vs. Implementation)</t>
  </si>
  <si>
    <t xml:space="preserve">Req ID</t>
  </si>
  <si>
    <t xml:space="preserve">Requirement</t>
  </si>
  <si>
    <t xml:space="preserve">Module</t>
  </si>
  <si>
    <t xml:space="preserve">SRS Priority</t>
  </si>
  <si>
    <t xml:space="preserve">Evidence / Notes (in code)</t>
  </si>
  <si>
    <t xml:space="preserve">FR-001</t>
  </si>
  <si>
    <t xml:space="preserve">Landing page (overview, 5-step, ROI, badges)</t>
  </si>
  <si>
    <t xml:space="preserve">Core</t>
  </si>
  <si>
    <t xml:space="preserve">High</t>
  </si>
  <si>
    <t xml:space="preserve">core/views.landing_page + templates/core/landing.html exist. BUT FR-001.3 shows "334 controls" hardcoded while DB has 197. FR-001.8 AR/EN toggle non-functional (LocaleMiddleware missing).</t>
  </si>
  <si>
    <t xml:space="preserve">FR-002</t>
  </si>
  <si>
    <t xml:space="preserve">Standalone company registration</t>
  </si>
  <si>
    <t xml:space="preserve">Critical</t>
  </si>
  <si>
    <t xml:space="preserve">register_company works &amp; creates Company+User. BUT bypasses CompanyRegistrationForm (no validation): FR-002.8 email verification = MISSING; FR-002.10 CR 10-digit validation = MISSING; FR-002.11 duplicate CR raises uncaught IntegrityError (HTTP 500).</t>
  </si>
  <si>
    <t xml:space="preserve">FR-003</t>
  </si>
  <si>
    <t xml:space="preserve">AI-powered classification engine</t>
  </si>
  <si>
    <t xml:space="preserve">AI Engine</t>
  </si>
  <si>
    <t xml:space="preserve">classify_company() calls OpenAI &amp; stores risk/summary. BUT FR-003.3/3.5 does NOT create the company control set/checklist; FR-003.7 admin manual override = MISSING; FR-003.9 re-classify on profile change = MISSING.</t>
  </si>
  <si>
    <t xml:space="preserve">FR-004</t>
  </si>
  <si>
    <t xml:space="preserve">Compliance controls DB (334 controls)</t>
  </si>
  <si>
    <t xml:space="preserve">Compliance</t>
  </si>
  <si>
    <t xml:space="preserve">Models complete; cross-mapping (ControlMapping) present (20 rows). BUT only 197/334 seeded (NCA 65/114, Aramco 66/92, SABIC 66/94). FR-004.7 Excel import/export = MISSING; FR-004.8 versioning = MISSING.</t>
  </si>
  <si>
    <t xml:space="preserve">FR-005</t>
  </si>
  <si>
    <t xml:space="preserve">Evidence upload &amp; OCR processing</t>
  </si>
  <si>
    <t xml:space="preserve">Compliance+AI</t>
  </si>
  <si>
    <t xml:space="preserve">PDF &amp; image OCR (Tesseract) work. BUT FR-005.1 DOCX/XLSX unsupported (binary read as utf-8 -&gt; fails); FR-005.2 50MB conflicts w/ DATA_UPLOAD_MAX=10MB; FR-005.11 type/size validation = MISSING; FR-005.12 thumbnails = MISSING; FR-005.13 delete w/ audit = MISSING.</t>
  </si>
  <si>
    <t xml:space="preserve">FR-006</t>
  </si>
  <si>
    <t xml:space="preserve">AI-powered evidence analysis</t>
  </si>
  <si>
    <t xml:space="preserve">analyze_evidence() implemented &amp; wired into upload. BUT runs synchronously (blocks request); FR-006.9 batch analysis = MISSING; FR-006.11 API rate limiting = MISSING; FR-006.10 retry logic minimal (single try/except).</t>
  </si>
  <si>
    <t xml:space="preserve">FR-007</t>
  </si>
  <si>
    <t xml:space="preserve">Gap analysis &amp; predictive risk</t>
  </si>
  <si>
    <t xml:space="preserve">generate_gap_analysis() implemented. BUG: run_gap_analysis only saves a GapAnalysis row for NCA; Aramco &amp; SABIC never saved. FR-007.12 PDF export = MISSING.</t>
  </si>
  <si>
    <t xml:space="preserve">FR-008</t>
  </si>
  <si>
    <t xml:space="preserve">Role-specific dashboards (4 roles)</t>
  </si>
  <si>
    <t xml:space="preserve">Dashboard</t>
  </si>
  <si>
    <t xml:space="preserve">Executive/Compliance/IT/BU dashboards exist and query real data. Partial: heatmap/ROI/benchmarks largely template-level; data sources (monitoring) are empty (see FR-010).</t>
  </si>
  <si>
    <t xml:space="preserve">FR-009</t>
  </si>
  <si>
    <t xml:space="preserve">Auditor portal</t>
  </si>
  <si>
    <t xml:space="preserve">Auditor Portal</t>
  </si>
  <si>
    <t xml:space="preserve">Dashboard, review, notes, document request, submit_report implemented. BUT FR-009.10 digital signature = MISSING; certificate issuance on pass (UC-004 step 11) = MISSING; FR-009.13 PDF export = MISSING.</t>
  </si>
  <si>
    <t xml:space="preserve">FR-010</t>
  </si>
  <si>
    <t xml:space="preserve">Continuous compliance monitoring</t>
  </si>
  <si>
    <t xml:space="preserve">Monitoring</t>
  </si>
  <si>
    <t xml:space="preserve">Models exist (ComplianceScore/Alert/MonthlyReport/CertificateTracker) but NOTHING populates them: no Celery tasks, no scheduler. FR-010.1 daily recalc, .2 monthly reports, .3 renewal countdown, .4 alerts, .5 email = ALL MISSING. realtime view crashes (template realtime.html missing).</t>
  </si>
  <si>
    <t xml:space="preserve">FR-011</t>
  </si>
  <si>
    <t xml:space="preserve">Reporting &amp; export (PDF/Excel/board)</t>
  </si>
  <si>
    <t xml:space="preserve">Medium</t>
  </si>
  <si>
    <t xml:space="preserve">No PDF/Excel generation libs (no reportlab/weasyprint/openpyxl) and no export code anywhere. Entire FR-011 not implemented.</t>
  </si>
  <si>
    <t xml:space="preserve">FR-012</t>
  </si>
  <si>
    <t xml:space="preserve">User &amp; access management</t>
  </si>
  <si>
    <t xml:space="preserve">RBAC role choices exist; login/logout work. BUT FR-012.3 MFA = MISSING; FR-012.4 12-char password policy = NOT enforced; FR-012.6 account lockout = MISSING; FR-012.7 password reset = MISSING; FR-012.8 user activity audit log = MISSING; FR-012.9 invite users = MISSING.</t>
  </si>
  <si>
    <t xml:space="preserve">Non-Functional Requirements</t>
  </si>
  <si>
    <t xml:space="preserve">Category</t>
  </si>
  <si>
    <t xml:space="preserve">Target</t>
  </si>
  <si>
    <t xml:space="preserve">Notes</t>
  </si>
  <si>
    <t xml:space="preserve">NFR-001</t>
  </si>
  <si>
    <t xml:space="preserve">Page load time</t>
  </si>
  <si>
    <t xml:space="preserve">Performance</t>
  </si>
  <si>
    <t xml:space="preserve">&lt; 3s</t>
  </si>
  <si>
    <t xml:space="preserve">Not benchmarked; depends on deploy.</t>
  </si>
  <si>
    <t xml:space="preserve">NFR-002</t>
  </si>
  <si>
    <t xml:space="preserve">API response time</t>
  </si>
  <si>
    <t xml:space="preserve">&lt; 2s</t>
  </si>
  <si>
    <t xml:space="preserve">No REST API exists; template views only.</t>
  </si>
  <si>
    <t xml:space="preserve">NFR-003</t>
  </si>
  <si>
    <t xml:space="preserve">AI analysis response</t>
  </si>
  <si>
    <t xml:space="preserve">&lt; 30s/control</t>
  </si>
  <si>
    <t xml:space="preserve">Runs synchronously in request (no async/Celery).</t>
  </si>
  <si>
    <t xml:space="preserve">NFR-004</t>
  </si>
  <si>
    <t xml:space="preserve">OCR processing time</t>
  </si>
  <si>
    <t xml:space="preserve">&lt; 10s/page</t>
  </si>
  <si>
    <t xml:space="preserve">Synchronous; 300 DPI full-page OCR may exceed.</t>
  </si>
  <si>
    <t xml:space="preserve">NFR-005</t>
  </si>
  <si>
    <t xml:space="preserve">Concurrent users</t>
  </si>
  <si>
    <t xml:space="preserve">500+</t>
  </si>
  <si>
    <t xml:space="preserve">SQLite dev DB; not tuned/tested.</t>
  </si>
  <si>
    <t xml:space="preserve">NFR-006</t>
  </si>
  <si>
    <t xml:space="preserve">File upload size</t>
  </si>
  <si>
    <t xml:space="preserve">up to 50MB</t>
  </si>
  <si>
    <t xml:space="preserve">DATA_UPLOAD_MAX_MEMORY_SIZE=10MB blocks 50MB.</t>
  </si>
  <si>
    <t xml:space="preserve">NFR-007</t>
  </si>
  <si>
    <t xml:space="preserve">Dashboard refresh</t>
  </si>
  <si>
    <t xml:space="preserve">&lt; 5s</t>
  </si>
  <si>
    <t xml:space="preserve">Not benchmarked.</t>
  </si>
  <si>
    <t xml:space="preserve">NFR-008</t>
  </si>
  <si>
    <t xml:space="preserve">Report generation</t>
  </si>
  <si>
    <t xml:space="preserve">&lt; 60s</t>
  </si>
  <si>
    <t xml:space="preserve">No report generation implemented.</t>
  </si>
  <si>
    <t xml:space="preserve">NFR-009</t>
  </si>
  <si>
    <t xml:space="preserve">DB query time</t>
  </si>
  <si>
    <t xml:space="preserve">&lt; 500ms</t>
  </si>
  <si>
    <t xml:space="preserve">NFR-010</t>
  </si>
  <si>
    <t xml:space="preserve">Search response</t>
  </si>
  <si>
    <t xml:space="preserve">No global search feature found.</t>
  </si>
  <si>
    <t xml:space="preserve">NFR-011</t>
  </si>
  <si>
    <t xml:space="preserve">Encryption at rest</t>
  </si>
  <si>
    <t xml:space="preserve">Security</t>
  </si>
  <si>
    <t xml:space="preserve">AES-256</t>
  </si>
  <si>
    <t xml:space="preserve">SQLite plaintext; no field/disk encryption.</t>
  </si>
  <si>
    <t xml:space="preserve">NFR-012</t>
  </si>
  <si>
    <t xml:space="preserve">Encryption in transit</t>
  </si>
  <si>
    <t xml:space="preserve">TLS 1.3</t>
  </si>
  <si>
    <t xml:space="preserve">No SECURE_SSL_REDIRECT/HSTS; relies on proxy.</t>
  </si>
  <si>
    <t xml:space="preserve">NFR-013</t>
  </si>
  <si>
    <t xml:space="preserve">Authentication (JWT)</t>
  </si>
  <si>
    <t xml:space="preserve">JWT</t>
  </si>
  <si>
    <t xml:space="preserve">SRS says JWT; impl uses Django SessionAuthentication, no JWT.</t>
  </si>
  <si>
    <t xml:space="preserve">NFR-014</t>
  </si>
  <si>
    <t xml:space="preserve">Authorization (RBAC, least priv)</t>
  </si>
  <si>
    <t xml:space="preserve">RBAC</t>
  </si>
  <si>
    <t xml:space="preserve">Roles exist; per-view permission checks are minimal (login_required only).</t>
  </si>
  <si>
    <t xml:space="preserve">NFR-015</t>
  </si>
  <si>
    <t xml:space="preserve">Input validation</t>
  </si>
  <si>
    <t xml:space="preserve">server-side</t>
  </si>
  <si>
    <t xml:space="preserve">Forms exist but registration bypasses them (raw POST).</t>
  </si>
  <si>
    <t xml:space="preserve">NFR-016</t>
  </si>
  <si>
    <t xml:space="preserve">SQL injection prevention</t>
  </si>
  <si>
    <t xml:space="preserve">ORM params</t>
  </si>
  <si>
    <t xml:space="preserve">Django ORM used throughout.</t>
  </si>
  <si>
    <t xml:space="preserve">NFR-017</t>
  </si>
  <si>
    <t xml:space="preserve">XSS prevention (CSP)</t>
  </si>
  <si>
    <t xml:space="preserve">CSP + encoding</t>
  </si>
  <si>
    <t xml:space="preserve">Django autoescape on; no Content-Security-Policy header.</t>
  </si>
  <si>
    <t xml:space="preserve">NFR-018</t>
  </si>
  <si>
    <t xml:space="preserve">CSRF protection</t>
  </si>
  <si>
    <t xml:space="preserve">Django CSRF</t>
  </si>
  <si>
    <t xml:space="preserve">CsrfViewMiddleware enabled.</t>
  </si>
  <si>
    <t xml:space="preserve">NFR-019</t>
  </si>
  <si>
    <t xml:space="preserve">File upload security</t>
  </si>
  <si>
    <t xml:space="preserve">type/AV/size</t>
  </si>
  <si>
    <t xml:space="preserve">No type whitelist, no virus scan, no size guard.</t>
  </si>
  <si>
    <t xml:space="preserve">NFR-020</t>
  </si>
  <si>
    <t xml:space="preserve">API rate limiting</t>
  </si>
  <si>
    <t xml:space="preserve">100/min/user</t>
  </si>
  <si>
    <t xml:space="preserve">No DRF throttling / no rate limiting.</t>
  </si>
  <si>
    <t xml:space="preserve">NFR-021</t>
  </si>
  <si>
    <t xml:space="preserve">Audit logging</t>
  </si>
  <si>
    <t xml:space="preserve">all actions</t>
  </si>
  <si>
    <t xml:space="preserve">Only AI logs; no general user-action audit trail.</t>
  </si>
  <si>
    <t xml:space="preserve">NFR-022</t>
  </si>
  <si>
    <t xml:space="preserve">Data backup</t>
  </si>
  <si>
    <t xml:space="preserve">daily/30d</t>
  </si>
  <si>
    <t xml:space="preserve">Operational; not in app.</t>
  </si>
  <si>
    <t xml:space="preserve">NFR-023</t>
  </si>
  <si>
    <t xml:space="preserve">Penetration testing</t>
  </si>
  <si>
    <t xml:space="preserve">annual</t>
  </si>
  <si>
    <t xml:space="preserve">Process item.</t>
  </si>
  <si>
    <t xml:space="preserve">NFR-024</t>
  </si>
  <si>
    <t xml:space="preserve">Vulnerability scanning</t>
  </si>
  <si>
    <t xml:space="preserve">monthly</t>
  </si>
  <si>
    <t xml:space="preserve">NFR-025</t>
  </si>
  <si>
    <t xml:space="preserve">System availability</t>
  </si>
  <si>
    <t xml:space="preserve">Availability</t>
  </si>
  <si>
    <t xml:space="preserve">99.5%</t>
  </si>
  <si>
    <t xml:space="preserve">Operational.</t>
  </si>
  <si>
    <t xml:space="preserve">NFR-026</t>
  </si>
  <si>
    <t xml:space="preserve">Maintenance window</t>
  </si>
  <si>
    <t xml:space="preserve">&lt;4h/mo</t>
  </si>
  <si>
    <t xml:space="preserve">NFR-027</t>
  </si>
  <si>
    <t xml:space="preserve">RTO</t>
  </si>
  <si>
    <t xml:space="preserve">&lt;4h</t>
  </si>
  <si>
    <t xml:space="preserve">No DR runbook in repo.</t>
  </si>
  <si>
    <t xml:space="preserve">NFR-028</t>
  </si>
  <si>
    <t xml:space="preserve">RPO</t>
  </si>
  <si>
    <t xml:space="preserve">&lt;1h</t>
  </si>
  <si>
    <t xml:space="preserve">No backup cadence configured.</t>
  </si>
  <si>
    <t xml:space="preserve">NFR-029</t>
  </si>
  <si>
    <t xml:space="preserve">Failover</t>
  </si>
  <si>
    <t xml:space="preserve">auto DB failover</t>
  </si>
  <si>
    <t xml:space="preserve">Single SQLite in dev.</t>
  </si>
  <si>
    <t xml:space="preserve">NFR-030</t>
  </si>
  <si>
    <t xml:space="preserve">Graceful AI degradation</t>
  </si>
  <si>
    <t xml:space="preserve">degrade</t>
  </si>
  <si>
    <t xml:space="preserve">try/except returns pending verdict; no queue/retry.</t>
  </si>
  <si>
    <t xml:space="preserve">NFR-031</t>
  </si>
  <si>
    <t xml:space="preserve">Horizontal scaling</t>
  </si>
  <si>
    <t xml:space="preserve">Scalability</t>
  </si>
  <si>
    <t xml:space="preserve">load balancer</t>
  </si>
  <si>
    <t xml:space="preserve">Gunicorn/Nginx noted in SRS only.</t>
  </si>
  <si>
    <t xml:space="preserve">NFR-032</t>
  </si>
  <si>
    <t xml:space="preserve">DB read replicas</t>
  </si>
  <si>
    <t xml:space="preserve">replicas</t>
  </si>
  <si>
    <t xml:space="preserve">Not configured.</t>
  </si>
  <si>
    <t xml:space="preserve">NFR-033</t>
  </si>
  <si>
    <t xml:space="preserve">Storage scaling</t>
  </si>
  <si>
    <t xml:space="preserve">cloud/S3</t>
  </si>
  <si>
    <t xml:space="preserve">Uses local FileField; no S3 backend.</t>
  </si>
  <si>
    <t xml:space="preserve">NFR-034</t>
  </si>
  <si>
    <t xml:space="preserve">User scaling</t>
  </si>
  <si>
    <t xml:space="preserve">10,000+ cos</t>
  </si>
  <si>
    <t xml:space="preserve">Not tested.</t>
  </si>
  <si>
    <t xml:space="preserve">NFR-035</t>
  </si>
  <si>
    <t xml:space="preserve">Control scaling</t>
  </si>
  <si>
    <t xml:space="preserve">1,000+/fw</t>
  </si>
  <si>
    <t xml:space="preserve">Schema supports it; data is the limit.</t>
  </si>
  <si>
    <t xml:space="preserve">NFR-036</t>
  </si>
  <si>
    <t xml:space="preserve">Language support (AR/EN, RTL)</t>
  </si>
  <si>
    <t xml:space="preserve">Usability</t>
  </si>
  <si>
    <t xml:space="preserve">full</t>
  </si>
  <si>
    <t xml:space="preserve">Bilingual fields present; LocaleMiddleware MISSING so no live toggle.</t>
  </si>
  <si>
    <t xml:space="preserve">NFR-037</t>
  </si>
  <si>
    <t xml:space="preserve">Responsive design</t>
  </si>
  <si>
    <t xml:space="preserve">mobile/desktop</t>
  </si>
  <si>
    <t xml:space="preserve">Tailwind templates; not verified across breakpoints.</t>
  </si>
  <si>
    <t xml:space="preserve">NFR-038</t>
  </si>
  <si>
    <t xml:space="preserve">Accessibility</t>
  </si>
  <si>
    <t xml:space="preserve">WCAG 2.1 AA</t>
  </si>
  <si>
    <t xml:space="preserve">No a11y work evident.</t>
  </si>
  <si>
    <t xml:space="preserve">NFR-039</t>
  </si>
  <si>
    <t xml:space="preserve">Browser support</t>
  </si>
  <si>
    <t xml:space="preserve">latest 2</t>
  </si>
  <si>
    <t xml:space="preserve">N/A in code.</t>
  </si>
  <si>
    <t xml:space="preserve">NFR-040</t>
  </si>
  <si>
    <t xml:space="preserve">Onboarding tour</t>
  </si>
  <si>
    <t xml:space="preserve">guided</t>
  </si>
  <si>
    <t xml:space="preserve">Not implemented.</t>
  </si>
  <si>
    <t xml:space="preserve">NFR-041</t>
  </si>
  <si>
    <t xml:space="preserve">Help documentation</t>
  </si>
  <si>
    <t xml:space="preserve">context help</t>
  </si>
  <si>
    <t xml:space="preserve">NFR-042</t>
  </si>
  <si>
    <t xml:space="preserve">Error messages (bilingual)</t>
  </si>
  <si>
    <t xml:space="preserve">clear/AR-EN</t>
  </si>
  <si>
    <t xml:space="preserve">Messages mostly English only.</t>
  </si>
  <si>
    <t xml:space="preserve">NFR-043</t>
  </si>
  <si>
    <t xml:space="preserve">Data sovereignty (KSA)</t>
  </si>
  <si>
    <t xml:space="preserve">in-KSA</t>
  </si>
  <si>
    <t xml:space="preserve">Hosting decision.</t>
  </si>
  <si>
    <t xml:space="preserve">NFR-044</t>
  </si>
  <si>
    <t xml:space="preserve">NCA self-compliance</t>
  </si>
  <si>
    <t xml:space="preserve">ECC</t>
  </si>
  <si>
    <t xml:space="preserve">NFR-045</t>
  </si>
  <si>
    <t xml:space="preserve">PDPL compliance</t>
  </si>
  <si>
    <t xml:space="preserve">consent/min</t>
  </si>
  <si>
    <t xml:space="preserve">No consent/min/deletion features.</t>
  </si>
  <si>
    <t xml:space="preserve">NFR-046</t>
  </si>
  <si>
    <t xml:space="preserve">Audit trail</t>
  </si>
  <si>
    <t xml:space="preserve">complete</t>
  </si>
  <si>
    <t xml:space="preserve">See NFR-021.</t>
  </si>
  <si>
    <t xml:space="preserve">NFR-047</t>
  </si>
  <si>
    <t xml:space="preserve">Data retention policies</t>
  </si>
  <si>
    <t xml:space="preserve">configurable</t>
  </si>
  <si>
    <t xml:space="preserve">NFR-048</t>
  </si>
  <si>
    <t xml:space="preserve">Right to deletion</t>
  </si>
  <si>
    <t xml:space="preserve">support</t>
  </si>
  <si>
    <t xml:space="preserve">Prototype &amp; Use Cases</t>
  </si>
  <si>
    <t xml:space="preserve">Ref</t>
  </si>
  <si>
    <t xml:space="preserve">Item (Prototype v3.2 / Use Case)</t>
  </si>
  <si>
    <t xml:space="preserve">Phase 0</t>
  </si>
  <si>
    <t xml:space="preserve">Landing page</t>
  </si>
  <si>
    <t xml:space="preserve">Implemented; hardcoded 334 controls.</t>
  </si>
  <si>
    <t xml:space="preserve">Phase 1</t>
  </si>
  <si>
    <t xml:space="preserve">Smart classification</t>
  </si>
  <si>
    <t xml:space="preserve">AI runs; does not build company control set or N/A auto-marking.</t>
  </si>
  <si>
    <t xml:space="preserve">Phase 2</t>
  </si>
  <si>
    <t xml:space="preserve">Integrations Hub (200+ tools, OAuth)</t>
  </si>
  <si>
    <t xml:space="preserve">No integrations app/models at all.</t>
  </si>
  <si>
    <t xml:space="preserve">Phase 3</t>
  </si>
  <si>
    <t xml:space="preserve">Automated control testing (continuous)</t>
  </si>
  <si>
    <t xml:space="preserve">No background testing engine; no scheduler.</t>
  </si>
  <si>
    <t xml:space="preserve">Phase 4</t>
  </si>
  <si>
    <t xml:space="preserve">Vulnerability management (CVE scan/map)</t>
  </si>
  <si>
    <t xml:space="preserve">No vuln models/CVE ingestion.</t>
  </si>
  <si>
    <t xml:space="preserve">Phase 5</t>
  </si>
  <si>
    <t xml:space="preserve">Works but only saves NCA result (bug).</t>
  </si>
  <si>
    <t xml:space="preserve">Phase 6</t>
  </si>
  <si>
    <t xml:space="preserve">Role-specific dashboards</t>
  </si>
  <si>
    <t xml:space="preserve">4 dashboards exist; data sources empty.</t>
  </si>
  <si>
    <t xml:space="preserve">Phase 7</t>
  </si>
  <si>
    <t xml:space="preserve">Pre-audit simulator &amp; auditor portal</t>
  </si>
  <si>
    <t xml:space="preserve">Auditor portal exists; virtual simulator MISSING.</t>
  </si>
  <si>
    <t xml:space="preserve">Phase 8</t>
  </si>
  <si>
    <t xml:space="preserve">Results &amp; ROI dashboard</t>
  </si>
  <si>
    <t xml:space="preserve">ROI numbers are static in templates.</t>
  </si>
  <si>
    <t xml:space="preserve">Phase 9</t>
  </si>
  <si>
    <t xml:space="preserve">Security &amp; certifications page</t>
  </si>
  <si>
    <t xml:space="preserve">No dedicated page/route found.</t>
  </si>
  <si>
    <t xml:space="preserve">Phase 10A</t>
  </si>
  <si>
    <t xml:space="preserve">Continuous compliance hub</t>
  </si>
  <si>
    <t xml:space="preserve">Page renders; no data generation/scheduler.</t>
  </si>
  <si>
    <t xml:space="preserve">Phase 10B</t>
  </si>
  <si>
    <t xml:space="preserve">Real-time monitoring (WebSocket feed)</t>
  </si>
  <si>
    <t xml:space="preserve">No Channels/WebSocket; realtime.html template MISSING -&gt; crashes.</t>
  </si>
  <si>
    <t xml:space="preserve">UC-001</t>
  </si>
  <si>
    <t xml:space="preserve">Registration &amp; classification</t>
  </si>
  <si>
    <t xml:space="preserve">Missing email verify + control checklist creation.</t>
  </si>
  <si>
    <t xml:space="preserve">UC-002</t>
  </si>
  <si>
    <t xml:space="preserve">Evidence upload &amp; AI analysis</t>
  </si>
  <si>
    <t xml:space="preserve">Works for PDF/img; DOCX/XLSX broken; synchronous.</t>
  </si>
  <si>
    <t xml:space="preserve">UC-003</t>
  </si>
  <si>
    <t xml:space="preserve">Gap analysis generation</t>
  </si>
  <si>
    <t xml:space="preserve">Aramco/SABIC not persisted; no PDF.</t>
  </si>
  <si>
    <t xml:space="preserve">UC-004</t>
  </si>
  <si>
    <t xml:space="preserve">Auditor review</t>
  </si>
  <si>
    <t xml:space="preserve">Review works; no certificate issuance / signature.</t>
  </si>
  <si>
    <t xml:space="preserve">UC-005</t>
  </si>
  <si>
    <t xml:space="preserve">Continuous monitoring alert</t>
  </si>
  <si>
    <t xml:space="preserve">No automated check/alert/email pipeline.</t>
  </si>
  <si>
    <t xml:space="preserve">Unified Gap Register</t>
  </si>
  <si>
    <t xml:space="preserve">Manus conceptual/idea-level gaps  +  code-vs-spec implementation gaps, consolidated</t>
  </si>
  <si>
    <t xml:space="preserve">Gap ID</t>
  </si>
  <si>
    <t xml:space="preserve">Type</t>
  </si>
  <si>
    <t xml:space="preserve">Gap Description</t>
  </si>
  <si>
    <t xml:space="preserve">Impact</t>
  </si>
  <si>
    <t xml:space="preserve">Recommendation</t>
  </si>
  <si>
    <t xml:space="preserve">Priority</t>
  </si>
  <si>
    <t xml:space="preserve">G-C01</t>
  </si>
  <si>
    <t xml:space="preserve">Concept</t>
  </si>
  <si>
    <t xml:space="preserve">Data integrity</t>
  </si>
  <si>
    <t xml:space="preserve">No mechanism to verify user-entered company data (CR, sector, size).</t>
  </si>
  <si>
    <t xml:space="preserve">Wrong classification -&gt; inaccurate assessment &amp; certificate.</t>
  </si>
  <si>
    <t xml:space="preserve">Add data-validation; reconcile with the Nafath question (see G-X01).</t>
  </si>
  <si>
    <t xml:space="preserve">Open</t>
  </si>
  <si>
    <t xml:space="preserve">G-C02</t>
  </si>
  <si>
    <t xml:space="preserve">AI scope</t>
  </si>
  <si>
    <t xml:space="preserve">AI Co-Pilot capabilities are undefined (chat? active recommendations? form-fill?).</t>
  </si>
  <si>
    <t xml:space="preserve">Unrealistic user expectations; AI under-utilized.</t>
  </si>
  <si>
    <t xml:space="preserve">Define Co-Pilot scope per phase (explain controls, suggest evidence, guide remediation).</t>
  </si>
  <si>
    <t xml:space="preserve">G-C03</t>
  </si>
  <si>
    <t xml:space="preserve">Classification</t>
  </si>
  <si>
    <t xml:space="preserve">No rules for complex/ambiguous cases (multi-sector, complex ownership, CNI edge cases).</t>
  </si>
  <si>
    <t xml:space="preserve">Misclassification; user frustration; heavy manual intervention.</t>
  </si>
  <si>
    <t xml:space="preserve">Detailed AI rules + expert manual-review path + smarter Co-Pilot follow-ups.</t>
  </si>
  <si>
    <t xml:space="preserve">G-C04</t>
  </si>
  <si>
    <t xml:space="preserve">Integrations</t>
  </si>
  <si>
    <t xml:space="preserve">Depth of OAuth integrations / legacy-system handling not specified.</t>
  </si>
  <si>
    <t xml:space="preserve">Integration with enterprise stacks is hard; falls back to manual evidence.</t>
  </si>
  <si>
    <t xml:space="preserve">Per-system integration docs; flexible APIs; connectors/agents; efficient manual path.</t>
  </si>
  <si>
    <t xml:space="preserve">G-C05</t>
  </si>
  <si>
    <t xml:space="preserve">AI accuracy</t>
  </si>
  <si>
    <t xml:space="preserve">NLP evidence-mapping accuracy is critical but unproven.</t>
  </si>
  <si>
    <t xml:space="preserve">Wrong evidence mapping / confidence -&gt; heavy manual review, less automation value.</t>
  </si>
  <si>
    <t xml:space="preserve">Invest in training/eval datasets; user feedback loop; show AI mapping for confirmation.</t>
  </si>
  <si>
    <t xml:space="preserve">G-C06</t>
  </si>
  <si>
    <t xml:space="preserve">Predictive risk</t>
  </si>
  <si>
    <t xml:space="preserve">Predictive risk engine needs large historical audit data not yet available.</t>
  </si>
  <si>
    <t xml:space="preserve">Misleading risk predictions; poor resource allocation / false security.</t>
  </si>
  <si>
    <t xml:space="preserve">Clarify data sources; start conservative; grow model; be transparent about probabilities.</t>
  </si>
  <si>
    <t xml:space="preserve">G-C07</t>
  </si>
  <si>
    <t xml:space="preserve">Generation quality</t>
  </si>
  <si>
    <t xml:space="preserve">Quality of AI-generated policies &amp; remediation scripts is unguaranteed.</t>
  </si>
  <si>
    <t xml:space="preserve">Inaccurate output -&gt; security risk / non-compliance / rework.</t>
  </si>
  <si>
    <t xml:space="preserve">Customizable templates; mandatory human review before adopting any generated artifact.</t>
  </si>
  <si>
    <t xml:space="preserve">G-C08</t>
  </si>
  <si>
    <t xml:space="preserve">UX/UI</t>
  </si>
  <si>
    <t xml:space="preserve">UX/UI detail (esp. auditor interface) not specified.</t>
  </si>
  <si>
    <t xml:space="preserve">Poor UX hinders adoption even with strong functions.</t>
  </si>
  <si>
    <t xml:space="preserve">Invest in UX/UI; user-test with orgs and auditors; align to KSA gov design guidance.</t>
  </si>
  <si>
    <t xml:space="preserve">G-C09</t>
  </si>
  <si>
    <t xml:space="preserve">Legal</t>
  </si>
  <si>
    <t xml:space="preserve">Liability for assessment accuracy / certificate validity / reg-change handling unclear.</t>
  </si>
  <si>
    <t xml:space="preserve">Legal exposure if assessments are wrong or stale.</t>
  </si>
  <si>
    <t xml:space="preserve">Legal review; clear disclaimer (assistive tool, not a substitute); rapid reg-update process.</t>
  </si>
  <si>
    <t xml:space="preserve">G-C10</t>
  </si>
  <si>
    <t xml:space="preserve">Localization</t>
  </si>
  <si>
    <t xml:space="preserve">Full AR/EN coverage (UI, reports, generated policies, help) not just Co-Pilot.</t>
  </si>
  <si>
    <t xml:space="preserve">Usability issues for local/government users.</t>
  </si>
  <si>
    <t xml:space="preserve">Comprehensive professional localization of every component.</t>
  </si>
  <si>
    <t xml:space="preserve">Partially fixed</t>
  </si>
  <si>
    <t xml:space="preserve">G-C11</t>
  </si>
  <si>
    <t xml:space="preserve">Adoption</t>
  </si>
  <si>
    <t xml:space="preserve">No change-management strategy for moving orgs from manual to automated.</t>
  </si>
  <si>
    <t xml:space="preserve">User resistance; under-utilization; rollout failure.</t>
  </si>
  <si>
    <t xml:space="preserve">Training programs, bilingual learning materials, ongoing support &amp; user community.</t>
  </si>
  <si>
    <t xml:space="preserve">G-I01</t>
  </si>
  <si>
    <t xml:space="preserve">Implementation</t>
  </si>
  <si>
    <t xml:space="preserve">Data</t>
  </si>
  <si>
    <t xml:space="preserve">Only 197 of 334 controls were seeded in the app DB.</t>
  </si>
  <si>
    <t xml:space="preserve">Compliance coverage understated; frameworks incomplete.</t>
  </si>
  <si>
    <t xml:space="preserve">seed_all_controls command now loads all 334 from the consolidated source file.</t>
  </si>
  <si>
    <t xml:space="preserve">Resolved this session</t>
  </si>
  <si>
    <t xml:space="preserve">G-I02</t>
  </si>
  <si>
    <t xml:space="preserve">Architecture</t>
  </si>
  <si>
    <t xml:space="preserve">No REST API; SRS Appendix D /api/v1 endpoints absent (DRF unused).</t>
  </si>
  <si>
    <t xml:space="preserve">No programmatic/mobile access as specified.</t>
  </si>
  <si>
    <t xml:space="preserve">Add DRF serializers/viewsets/routers for the documented endpoints.</t>
  </si>
  <si>
    <t xml:space="preserve">G-I03</t>
  </si>
  <si>
    <t xml:space="preserve">Celery configured but no tasks/scheduler; AI &amp; OCR run synchronously.</t>
  </si>
  <si>
    <t xml:space="preserve">Blocking requests; monitoring data never generated.</t>
  </si>
  <si>
    <t xml:space="preserve">Add Celery tasks + beat for analysis, daily scores, monthly reports, alerts.</t>
  </si>
  <si>
    <t xml:space="preserve">G-I04</t>
  </si>
  <si>
    <t xml:space="preserve">Real-time</t>
  </si>
  <si>
    <t xml:space="preserve">No WebSocket/Channels; realtime view crashed on a missing template.</t>
  </si>
  <si>
    <t xml:space="preserve">"Real-time" feed non-functional; page error.</t>
  </si>
  <si>
    <t xml:space="preserve">Template created (fixed). Add Channels/WebSocket for live feed.</t>
  </si>
  <si>
    <t xml:space="preserve">G-I05</t>
  </si>
  <si>
    <t xml:space="preserve">Notifications</t>
  </si>
  <si>
    <t xml:space="preserve">No email backend; verification/alerts/scheduled reports/password reset absent.</t>
  </si>
  <si>
    <t xml:space="preserve">Multiple FRs (002.8, 010.5, 011.8, 012.7) unmet.</t>
  </si>
  <si>
    <t xml:space="preserve">Configure EMAIL backend + wire send_mail flows.</t>
  </si>
  <si>
    <t xml:space="preserve">G-I06</t>
  </si>
  <si>
    <t xml:space="preserve">MFA not implemented (FR-012.3 / NFR-013).</t>
  </si>
  <si>
    <t xml:space="preserve">Weaker auth than specified.</t>
  </si>
  <si>
    <t xml:space="preserve">Add TOTP/MFA enrollment &amp; enforcement.</t>
  </si>
  <si>
    <t xml:space="preserve">G-I07</t>
  </si>
  <si>
    <t xml:space="preserve">Reporting</t>
  </si>
  <si>
    <t xml:space="preserve">No PDF/Excel/board report generation (FR-011, 007.12, 009.13).</t>
  </si>
  <si>
    <t xml:space="preserve">Cannot produce required deliverables / certificates.</t>
  </si>
  <si>
    <t xml:space="preserve">Add reportlab/openpyxl generation + certificate issuance on pass.</t>
  </si>
  <si>
    <t xml:space="preserve">G-I08</t>
  </si>
  <si>
    <t xml:space="preserve">Workflow</t>
  </si>
  <si>
    <t xml:space="preserve">Company control checklist was never created at registration.</t>
  </si>
  <si>
    <t xml:space="preserve">Dashboards/controls empty; platform unusable end-to-end.</t>
  </si>
  <si>
    <t xml:space="preserve">Checklist now built from targeted frameworks after classification.</t>
  </si>
  <si>
    <t xml:space="preserve">G-I09</t>
  </si>
  <si>
    <t xml:space="preserve">Evidence</t>
  </si>
  <si>
    <t xml:space="preserve">DOCX/XLSX extraction broken; 50MB vs 10MB conflict; no type/size validation.</t>
  </si>
  <si>
    <t xml:space="preserve">Unsupported uploads fail; oversize blocked; weak validation.</t>
  </si>
  <si>
    <t xml:space="preserve">Size+type validation fixed. DOCX/XLSX text extraction still to add.</t>
  </si>
  <si>
    <t xml:space="preserve">G-I10</t>
  </si>
  <si>
    <t xml:space="preserve">Gap analysis</t>
  </si>
  <si>
    <t xml:space="preserve">run_gap_analysis persisted NCA only; Aramco/SABIC lost.</t>
  </si>
  <si>
    <t xml:space="preserve">Per-framework gap results incomplete (FR-007.1).</t>
  </si>
  <si>
    <t xml:space="preserve">Now saves one GapAnalysis row per targeted framework.</t>
  </si>
  <si>
    <t xml:space="preserve">G-I11</t>
  </si>
  <si>
    <t xml:space="preserve">Validation</t>
  </si>
  <si>
    <t xml:space="preserve">Registration bypassed the form (no CR/password validation; 500 on dup CR).</t>
  </si>
  <si>
    <t xml:space="preserve">Bad data; crashes (FR-002.10/.11, 012.4).</t>
  </si>
  <si>
    <t xml:space="preserve">Now uses validated form; CR 10-digit; dup handled; password &gt;=12.</t>
  </si>
  <si>
    <t xml:space="preserve">G-I12</t>
  </si>
  <si>
    <t xml:space="preserve">Quality</t>
  </si>
  <si>
    <t xml:space="preserve">No automated tests (all tests.py empty).</t>
  </si>
  <si>
    <t xml:space="preserve">Regressions undetected (SRS Phase 7 QA).</t>
  </si>
  <si>
    <t xml:space="preserve">Add unit/integration tests for core flows.</t>
  </si>
  <si>
    <t xml:space="preserve">G-I13</t>
  </si>
  <si>
    <t xml:space="preserve">Prod hardening missing: DEBUG/SECRET_KEY defaults, no CSP, no rate limiting, no general audit log.</t>
  </si>
  <si>
    <t xml:space="preserve">Insecure defaults; NFR-017/020/021 unmet.</t>
  </si>
  <si>
    <t xml:space="preserve">Set SECURE_* settings, CSP, DRF throttling, audit-log middleware.</t>
  </si>
  <si>
    <t xml:space="preserve">G-I14</t>
  </si>
  <si>
    <t xml:space="preserve">PDPL: no retention policy / right-to-deletion (NFR-047/048).</t>
  </si>
  <si>
    <t xml:space="preserve">Regulatory non-compliance risk.</t>
  </si>
  <si>
    <t xml:space="preserve">Implement retention config + deletion workflow.</t>
  </si>
  <si>
    <t xml:space="preserve">G-X01</t>
  </si>
  <si>
    <t xml:space="preserve">Conflict</t>
  </si>
  <si>
    <t xml:space="preserve">Requirements</t>
  </si>
  <si>
    <t xml:space="preserve">Manus researches &amp; recommends Nafath/government verification; SRS forbids Nafath/Wathiq (standalone).</t>
  </si>
  <si>
    <t xml:space="preserve">Two authoritative docs point opposite ways.</t>
  </si>
  <si>
    <t xml:space="preserve">Product owner to decide; update SRS or drop the Nafath recommendation accordingly.</t>
  </si>
  <si>
    <t xml:space="preserve">Needs decision</t>
  </si>
  <si>
    <t xml:space="preserve">Tally</t>
  </si>
  <si>
    <t xml:space="preserve">TOTAL gaps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</si>
</sst>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473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3F3F3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4731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color rgb="FF3F3F3F"/>
      <name val="Arial"/>
      <family val="0"/>
      <charset val="1"/>
    </font>
    <font>
      <b val="true"/>
      <sz val="10"/>
      <color rgb="FF843C0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4731"/>
        <bgColor rgb="FF3F3F3F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4B0B0"/>
      </patternFill>
    </fill>
    <fill>
      <patternFill patternType="solid">
        <fgColor rgb="FFF4B0B0"/>
        <bgColor rgb="FFFFC7CE"/>
      </patternFill>
    </fill>
    <fill>
      <patternFill patternType="solid">
        <fgColor rgb="FFD9E1F2"/>
        <bgColor rgb="FFE2E2E2"/>
      </patternFill>
    </fill>
    <fill>
      <patternFill patternType="solid">
        <fgColor rgb="FFE2E2E2"/>
        <bgColor rgb="FFD9E1F2"/>
      </patternFill>
    </fill>
    <fill>
      <patternFill patternType="solid">
        <fgColor rgb="FFE7E0F7"/>
        <bgColor rgb="FFE2E2E2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E2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2E2"/>
      <rgbColor rgb="FFC6EFCE"/>
      <rgbColor rgb="FFFFEB9C"/>
      <rgbColor rgb="FFE7E0F7"/>
      <rgbColor rgb="FFF4B0B0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003366"/>
      <rgbColor rgb="FF339966"/>
      <rgbColor rgb="FF003300"/>
      <rgbColor rgb="FF1A4731"/>
      <rgbColor rgb="FF843C0C"/>
      <rgbColor rgb="FF993366"/>
      <rgbColor rgb="FF1F4E78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COUNTIF('Functional Requirements'!E:E,A5)</f>
        <v>0</v>
      </c>
      <c r="C5" s="6" t="n">
        <f aca="false">COUNTIF('Non-Functional Requirements'!E:E,A5)</f>
        <v>3</v>
      </c>
      <c r="D5" s="6" t="n">
        <f aca="false">B5+C5</f>
        <v>3</v>
      </c>
    </row>
    <row r="6" customFormat="false" ht="15" hidden="false" customHeight="true" outlineLevel="0" collapsed="false">
      <c r="A6" s="7" t="s">
        <v>7</v>
      </c>
      <c r="B6" s="6" t="n">
        <f aca="false">COUNTIF('Functional Requirements'!E:E,A6)</f>
        <v>8</v>
      </c>
      <c r="C6" s="6" t="n">
        <f aca="false">COUNTIF('Non-Functional Requirements'!E:E,A6)</f>
        <v>10</v>
      </c>
      <c r="D6" s="6" t="n">
        <f aca="false">B6+C6</f>
        <v>18</v>
      </c>
    </row>
    <row r="7" customFormat="false" ht="15" hidden="false" customHeight="true" outlineLevel="0" collapsed="false">
      <c r="A7" s="8" t="s">
        <v>8</v>
      </c>
      <c r="B7" s="6" t="n">
        <f aca="false">COUNTIF('Functional Requirements'!E:E,A7)</f>
        <v>2</v>
      </c>
      <c r="C7" s="6" t="n">
        <f aca="false">COUNTIF('Non-Functional Requirements'!E:E,A7)</f>
        <v>2</v>
      </c>
      <c r="D7" s="6" t="n">
        <f aca="false">B7+C7</f>
        <v>4</v>
      </c>
    </row>
    <row r="8" customFormat="false" ht="15" hidden="false" customHeight="true" outlineLevel="0" collapsed="false">
      <c r="A8" s="9" t="s">
        <v>9</v>
      </c>
      <c r="B8" s="6" t="n">
        <f aca="false">COUNTIF('Functional Requirements'!E:E,A8)</f>
        <v>2</v>
      </c>
      <c r="C8" s="6" t="n">
        <f aca="false">COUNTIF('Non-Functional Requirements'!E:E,A8)</f>
        <v>14</v>
      </c>
      <c r="D8" s="6" t="n">
        <f aca="false">B8+C8</f>
        <v>16</v>
      </c>
    </row>
    <row r="9" customFormat="false" ht="15" hidden="false" customHeight="true" outlineLevel="0" collapsed="false">
      <c r="A9" s="10" t="s">
        <v>10</v>
      </c>
      <c r="B9" s="6" t="n">
        <f aca="false">COUNTIF('Functional Requirements'!E:E,A9)</f>
        <v>0</v>
      </c>
      <c r="C9" s="6" t="n">
        <f aca="false">COUNTIF('Non-Functional Requirements'!E:E,A9)</f>
        <v>16</v>
      </c>
      <c r="D9" s="6" t="n">
        <f aca="false">B9+C9</f>
        <v>16</v>
      </c>
    </row>
    <row r="10" customFormat="false" ht="15" hidden="false" customHeight="true" outlineLevel="0" collapsed="false">
      <c r="A10" s="11" t="s">
        <v>11</v>
      </c>
      <c r="B10" s="6" t="n">
        <f aca="false">COUNTIF('Functional Requirements'!E:E,A10)</f>
        <v>0</v>
      </c>
      <c r="C10" s="6" t="n">
        <f aca="false">COUNTIF('Non-Functional Requirements'!E:E,A10)</f>
        <v>3</v>
      </c>
      <c r="D10" s="6" t="n">
        <f aca="false">B10+C10</f>
        <v>3</v>
      </c>
    </row>
    <row r="11" customFormat="false" ht="15" hidden="false" customHeight="true" outlineLevel="0" collapsed="false">
      <c r="A11" s="12" t="s">
        <v>12</v>
      </c>
      <c r="B11" s="12" t="n">
        <f aca="false">SUM(B5:B10)</f>
        <v>12</v>
      </c>
      <c r="C11" s="12" t="n">
        <f aca="false">SUM(C5:C10)</f>
        <v>48</v>
      </c>
      <c r="D11" s="12" t="n">
        <f aca="false">SUM(D5:D10)</f>
        <v>60</v>
      </c>
    </row>
    <row r="14" customFormat="false" ht="15" hidden="false" customHeight="true" outlineLevel="0" collapsed="false">
      <c r="A14" s="13" t="s">
        <v>13</v>
      </c>
    </row>
    <row r="15" customFormat="false" ht="15" hidden="false" customHeight="true" outlineLevel="0" collapsed="false">
      <c r="A15" s="5" t="s">
        <v>6</v>
      </c>
      <c r="B15" s="14" t="s">
        <v>14</v>
      </c>
      <c r="C15" s="14"/>
      <c r="D15" s="14"/>
    </row>
    <row r="16" customFormat="false" ht="15" hidden="false" customHeight="true" outlineLevel="0" collapsed="false">
      <c r="A16" s="7" t="s">
        <v>7</v>
      </c>
      <c r="B16" s="14" t="s">
        <v>15</v>
      </c>
      <c r="C16" s="14"/>
      <c r="D16" s="14"/>
    </row>
    <row r="17" customFormat="false" ht="15" hidden="false" customHeight="true" outlineLevel="0" collapsed="false">
      <c r="A17" s="8" t="s">
        <v>8</v>
      </c>
      <c r="B17" s="14" t="s">
        <v>16</v>
      </c>
      <c r="C17" s="14"/>
      <c r="D17" s="14"/>
    </row>
    <row r="18" customFormat="false" ht="15" hidden="false" customHeight="true" outlineLevel="0" collapsed="false">
      <c r="A18" s="9" t="s">
        <v>9</v>
      </c>
      <c r="B18" s="14" t="s">
        <v>17</v>
      </c>
      <c r="C18" s="14"/>
      <c r="D18" s="14"/>
    </row>
    <row r="19" customFormat="false" ht="15" hidden="false" customHeight="true" outlineLevel="0" collapsed="false">
      <c r="A19" s="10" t="s">
        <v>10</v>
      </c>
      <c r="B19" s="14" t="s">
        <v>18</v>
      </c>
      <c r="C19" s="14"/>
      <c r="D19" s="14"/>
    </row>
    <row r="20" customFormat="false" ht="15" hidden="false" customHeight="true" outlineLevel="0" collapsed="false">
      <c r="A20" s="11" t="s">
        <v>11</v>
      </c>
      <c r="B20" s="14" t="s">
        <v>19</v>
      </c>
      <c r="C20" s="14"/>
      <c r="D20" s="14"/>
    </row>
  </sheetData>
  <mergeCells count="8">
    <mergeCell ref="A1:D1"/>
    <mergeCell ref="A2:D2"/>
    <mergeCell ref="B15:D15"/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70"/>
  </cols>
  <sheetData>
    <row r="1" customFormat="false" ht="19.5" hidden="false" customHeight="true" outlineLevel="0" collapsed="false">
      <c r="A1" s="2" t="s">
        <v>20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21</v>
      </c>
      <c r="B2" s="3"/>
      <c r="C2" s="3"/>
      <c r="D2" s="3"/>
      <c r="E2" s="3"/>
      <c r="F2" s="3"/>
    </row>
    <row r="4" customFormat="false" ht="26.25" hidden="false" customHeight="true" outlineLevel="0" collapsed="false">
      <c r="A4" s="4" t="s">
        <v>22</v>
      </c>
      <c r="B4" s="4" t="s">
        <v>23</v>
      </c>
      <c r="C4" s="4" t="s">
        <v>24</v>
      </c>
      <c r="D4" s="4" t="s">
        <v>25</v>
      </c>
      <c r="E4" s="4" t="s">
        <v>2</v>
      </c>
      <c r="F4" s="4" t="s">
        <v>26</v>
      </c>
    </row>
    <row r="5" customFormat="false" ht="34.5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7" t="s">
        <v>7</v>
      </c>
      <c r="F5" s="15" t="s">
        <v>31</v>
      </c>
    </row>
    <row r="6" customFormat="false" ht="45.75" hidden="false" customHeight="true" outlineLevel="0" collapsed="false">
      <c r="A6" s="15" t="s">
        <v>32</v>
      </c>
      <c r="B6" s="15" t="s">
        <v>33</v>
      </c>
      <c r="C6" s="15" t="s">
        <v>29</v>
      </c>
      <c r="D6" s="15" t="s">
        <v>34</v>
      </c>
      <c r="E6" s="7" t="s">
        <v>7</v>
      </c>
      <c r="F6" s="15" t="s">
        <v>35</v>
      </c>
    </row>
    <row r="7" customFormat="false" ht="34.5" hidden="false" customHeight="true" outlineLevel="0" collapsed="false">
      <c r="A7" s="15" t="s">
        <v>36</v>
      </c>
      <c r="B7" s="15" t="s">
        <v>37</v>
      </c>
      <c r="C7" s="15" t="s">
        <v>38</v>
      </c>
      <c r="D7" s="15" t="s">
        <v>34</v>
      </c>
      <c r="E7" s="7" t="s">
        <v>7</v>
      </c>
      <c r="F7" s="15" t="s">
        <v>39</v>
      </c>
    </row>
    <row r="8" customFormat="false" ht="34.5" hidden="false" customHeight="true" outlineLevel="0" collapsed="false">
      <c r="A8" s="15" t="s">
        <v>40</v>
      </c>
      <c r="B8" s="15" t="s">
        <v>41</v>
      </c>
      <c r="C8" s="15" t="s">
        <v>42</v>
      </c>
      <c r="D8" s="15" t="s">
        <v>34</v>
      </c>
      <c r="E8" s="7" t="s">
        <v>7</v>
      </c>
      <c r="F8" s="15" t="s">
        <v>43</v>
      </c>
    </row>
    <row r="9" customFormat="false" ht="45.75" hidden="false" customHeight="true" outlineLevel="0" collapsed="false">
      <c r="A9" s="15" t="s">
        <v>44</v>
      </c>
      <c r="B9" s="15" t="s">
        <v>45</v>
      </c>
      <c r="C9" s="15" t="s">
        <v>46</v>
      </c>
      <c r="D9" s="15" t="s">
        <v>34</v>
      </c>
      <c r="E9" s="8" t="s">
        <v>8</v>
      </c>
      <c r="F9" s="15" t="s">
        <v>47</v>
      </c>
    </row>
    <row r="10" customFormat="false" ht="34.5" hidden="false" customHeight="true" outlineLevel="0" collapsed="false">
      <c r="A10" s="15" t="s">
        <v>48</v>
      </c>
      <c r="B10" s="15" t="s">
        <v>49</v>
      </c>
      <c r="C10" s="15" t="s">
        <v>38</v>
      </c>
      <c r="D10" s="15" t="s">
        <v>34</v>
      </c>
      <c r="E10" s="7" t="s">
        <v>7</v>
      </c>
      <c r="F10" s="15" t="s">
        <v>50</v>
      </c>
    </row>
    <row r="11" customFormat="false" ht="34.5" hidden="false" customHeight="true" outlineLevel="0" collapsed="false">
      <c r="A11" s="15" t="s">
        <v>51</v>
      </c>
      <c r="B11" s="15" t="s">
        <v>52</v>
      </c>
      <c r="C11" s="15" t="s">
        <v>38</v>
      </c>
      <c r="D11" s="15" t="s">
        <v>30</v>
      </c>
      <c r="E11" s="8" t="s">
        <v>8</v>
      </c>
      <c r="F11" s="15" t="s">
        <v>53</v>
      </c>
    </row>
    <row r="12" customFormat="false" ht="34.5" hidden="false" customHeight="true" outlineLevel="0" collapsed="false">
      <c r="A12" s="15" t="s">
        <v>54</v>
      </c>
      <c r="B12" s="15" t="s">
        <v>55</v>
      </c>
      <c r="C12" s="15" t="s">
        <v>56</v>
      </c>
      <c r="D12" s="15" t="s">
        <v>30</v>
      </c>
      <c r="E12" s="7" t="s">
        <v>7</v>
      </c>
      <c r="F12" s="15" t="s">
        <v>57</v>
      </c>
    </row>
    <row r="13" customFormat="false" ht="34.5" hidden="false" customHeight="true" outlineLevel="0" collapsed="false">
      <c r="A13" s="15" t="s">
        <v>58</v>
      </c>
      <c r="B13" s="15" t="s">
        <v>59</v>
      </c>
      <c r="C13" s="15" t="s">
        <v>60</v>
      </c>
      <c r="D13" s="15" t="s">
        <v>30</v>
      </c>
      <c r="E13" s="7" t="s">
        <v>7</v>
      </c>
      <c r="F13" s="15" t="s">
        <v>61</v>
      </c>
    </row>
    <row r="14" customFormat="false" ht="45.75" hidden="false" customHeight="true" outlineLevel="0" collapsed="false">
      <c r="A14" s="15" t="s">
        <v>62</v>
      </c>
      <c r="B14" s="15" t="s">
        <v>63</v>
      </c>
      <c r="C14" s="15" t="s">
        <v>64</v>
      </c>
      <c r="D14" s="15" t="s">
        <v>30</v>
      </c>
      <c r="E14" s="9" t="s">
        <v>9</v>
      </c>
      <c r="F14" s="15" t="s">
        <v>65</v>
      </c>
    </row>
    <row r="15" customFormat="false" ht="23.25" hidden="false" customHeight="true" outlineLevel="0" collapsed="false">
      <c r="A15" s="15" t="s">
        <v>66</v>
      </c>
      <c r="B15" s="15" t="s">
        <v>67</v>
      </c>
      <c r="C15" s="15" t="s">
        <v>56</v>
      </c>
      <c r="D15" s="15" t="s">
        <v>68</v>
      </c>
      <c r="E15" s="9" t="s">
        <v>9</v>
      </c>
      <c r="F15" s="15" t="s">
        <v>69</v>
      </c>
    </row>
    <row r="16" customFormat="false" ht="45.75" hidden="false" customHeight="true" outlineLevel="0" collapsed="false">
      <c r="A16" s="15" t="s">
        <v>70</v>
      </c>
      <c r="B16" s="15" t="s">
        <v>71</v>
      </c>
      <c r="C16" s="15" t="s">
        <v>29</v>
      </c>
      <c r="D16" s="15" t="s">
        <v>30</v>
      </c>
      <c r="E16" s="7" t="s">
        <v>7</v>
      </c>
      <c r="F16" s="15" t="s">
        <v>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52"/>
  </cols>
  <sheetData>
    <row r="1" customFormat="false" ht="19.5" hidden="false" customHeight="true" outlineLevel="0" collapsed="false">
      <c r="A1" s="2" t="s">
        <v>73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22</v>
      </c>
      <c r="B4" s="4" t="s">
        <v>23</v>
      </c>
      <c r="C4" s="4" t="s">
        <v>74</v>
      </c>
      <c r="D4" s="4" t="s">
        <v>75</v>
      </c>
      <c r="E4" s="4" t="s">
        <v>2</v>
      </c>
      <c r="F4" s="4" t="s">
        <v>76</v>
      </c>
    </row>
    <row r="5" customFormat="false" ht="15" hidden="false" customHeight="true" outlineLevel="0" collapsed="false">
      <c r="A5" s="15" t="s">
        <v>77</v>
      </c>
      <c r="B5" s="15" t="s">
        <v>78</v>
      </c>
      <c r="C5" s="15" t="s">
        <v>79</v>
      </c>
      <c r="D5" s="15" t="s">
        <v>80</v>
      </c>
      <c r="E5" s="10" t="s">
        <v>10</v>
      </c>
      <c r="F5" s="15" t="s">
        <v>81</v>
      </c>
    </row>
    <row r="6" customFormat="false" ht="15" hidden="false" customHeight="true" outlineLevel="0" collapsed="false">
      <c r="A6" s="15" t="s">
        <v>82</v>
      </c>
      <c r="B6" s="15" t="s">
        <v>83</v>
      </c>
      <c r="C6" s="15" t="s">
        <v>79</v>
      </c>
      <c r="D6" s="15" t="s">
        <v>84</v>
      </c>
      <c r="E6" s="7" t="s">
        <v>7</v>
      </c>
      <c r="F6" s="15" t="s">
        <v>85</v>
      </c>
    </row>
    <row r="7" customFormat="false" ht="15" hidden="false" customHeight="true" outlineLevel="0" collapsed="false">
      <c r="A7" s="15" t="s">
        <v>86</v>
      </c>
      <c r="B7" s="15" t="s">
        <v>87</v>
      </c>
      <c r="C7" s="15" t="s">
        <v>79</v>
      </c>
      <c r="D7" s="15" t="s">
        <v>88</v>
      </c>
      <c r="E7" s="7" t="s">
        <v>7</v>
      </c>
      <c r="F7" s="15" t="s">
        <v>89</v>
      </c>
    </row>
    <row r="8" customFormat="false" ht="15" hidden="false" customHeight="true" outlineLevel="0" collapsed="false">
      <c r="A8" s="15" t="s">
        <v>90</v>
      </c>
      <c r="B8" s="15" t="s">
        <v>91</v>
      </c>
      <c r="C8" s="15" t="s">
        <v>79</v>
      </c>
      <c r="D8" s="15" t="s">
        <v>92</v>
      </c>
      <c r="E8" s="7" t="s">
        <v>7</v>
      </c>
      <c r="F8" s="15" t="s">
        <v>93</v>
      </c>
    </row>
    <row r="9" customFormat="false" ht="15" hidden="false" customHeight="true" outlineLevel="0" collapsed="false">
      <c r="A9" s="15" t="s">
        <v>94</v>
      </c>
      <c r="B9" s="15" t="s">
        <v>95</v>
      </c>
      <c r="C9" s="15" t="s">
        <v>79</v>
      </c>
      <c r="D9" s="15" t="s">
        <v>96</v>
      </c>
      <c r="E9" s="10" t="s">
        <v>10</v>
      </c>
      <c r="F9" s="15" t="s">
        <v>97</v>
      </c>
    </row>
    <row r="10" customFormat="false" ht="15" hidden="false" customHeight="true" outlineLevel="0" collapsed="false">
      <c r="A10" s="15" t="s">
        <v>98</v>
      </c>
      <c r="B10" s="15" t="s">
        <v>99</v>
      </c>
      <c r="C10" s="15" t="s">
        <v>79</v>
      </c>
      <c r="D10" s="15" t="s">
        <v>100</v>
      </c>
      <c r="E10" s="8" t="s">
        <v>8</v>
      </c>
      <c r="F10" s="15" t="s">
        <v>101</v>
      </c>
    </row>
    <row r="11" customFormat="false" ht="15" hidden="false" customHeight="true" outlineLevel="0" collapsed="false">
      <c r="A11" s="15" t="s">
        <v>102</v>
      </c>
      <c r="B11" s="15" t="s">
        <v>103</v>
      </c>
      <c r="C11" s="15" t="s">
        <v>79</v>
      </c>
      <c r="D11" s="15" t="s">
        <v>104</v>
      </c>
      <c r="E11" s="10" t="s">
        <v>10</v>
      </c>
      <c r="F11" s="15" t="s">
        <v>105</v>
      </c>
    </row>
    <row r="12" customFormat="false" ht="15" hidden="false" customHeight="true" outlineLevel="0" collapsed="false">
      <c r="A12" s="15" t="s">
        <v>106</v>
      </c>
      <c r="B12" s="15" t="s">
        <v>107</v>
      </c>
      <c r="C12" s="15" t="s">
        <v>79</v>
      </c>
      <c r="D12" s="15" t="s">
        <v>108</v>
      </c>
      <c r="E12" s="9" t="s">
        <v>9</v>
      </c>
      <c r="F12" s="15" t="s">
        <v>109</v>
      </c>
    </row>
    <row r="13" customFormat="false" ht="15" hidden="false" customHeight="true" outlineLevel="0" collapsed="false">
      <c r="A13" s="15" t="s">
        <v>110</v>
      </c>
      <c r="B13" s="15" t="s">
        <v>111</v>
      </c>
      <c r="C13" s="15" t="s">
        <v>79</v>
      </c>
      <c r="D13" s="15" t="s">
        <v>112</v>
      </c>
      <c r="E13" s="10" t="s">
        <v>10</v>
      </c>
      <c r="F13" s="15" t="s">
        <v>105</v>
      </c>
    </row>
    <row r="14" customFormat="false" ht="15" hidden="false" customHeight="true" outlineLevel="0" collapsed="false">
      <c r="A14" s="15" t="s">
        <v>113</v>
      </c>
      <c r="B14" s="15" t="s">
        <v>114</v>
      </c>
      <c r="C14" s="15" t="s">
        <v>79</v>
      </c>
      <c r="D14" s="15" t="s">
        <v>84</v>
      </c>
      <c r="E14" s="9" t="s">
        <v>9</v>
      </c>
      <c r="F14" s="15" t="s">
        <v>115</v>
      </c>
    </row>
    <row r="15" customFormat="false" ht="15" hidden="false" customHeight="true" outlineLevel="0" collapsed="false">
      <c r="A15" s="15" t="s">
        <v>116</v>
      </c>
      <c r="B15" s="15" t="s">
        <v>117</v>
      </c>
      <c r="C15" s="15" t="s">
        <v>118</v>
      </c>
      <c r="D15" s="15" t="s">
        <v>119</v>
      </c>
      <c r="E15" s="9" t="s">
        <v>9</v>
      </c>
      <c r="F15" s="15" t="s">
        <v>120</v>
      </c>
    </row>
    <row r="16" customFormat="false" ht="15" hidden="false" customHeight="true" outlineLevel="0" collapsed="false">
      <c r="A16" s="15" t="s">
        <v>121</v>
      </c>
      <c r="B16" s="15" t="s">
        <v>122</v>
      </c>
      <c r="C16" s="15" t="s">
        <v>118</v>
      </c>
      <c r="D16" s="15" t="s">
        <v>123</v>
      </c>
      <c r="E16" s="10" t="s">
        <v>10</v>
      </c>
      <c r="F16" s="15" t="s">
        <v>124</v>
      </c>
    </row>
    <row r="17" customFormat="false" ht="23.25" hidden="false" customHeight="true" outlineLevel="0" collapsed="false">
      <c r="A17" s="15" t="s">
        <v>125</v>
      </c>
      <c r="B17" s="15" t="s">
        <v>126</v>
      </c>
      <c r="C17" s="15" t="s">
        <v>118</v>
      </c>
      <c r="D17" s="15" t="s">
        <v>127</v>
      </c>
      <c r="E17" s="8" t="s">
        <v>8</v>
      </c>
      <c r="F17" s="15" t="s">
        <v>128</v>
      </c>
    </row>
    <row r="18" customFormat="false" ht="23.25" hidden="false" customHeight="true" outlineLevel="0" collapsed="false">
      <c r="A18" s="15" t="s">
        <v>129</v>
      </c>
      <c r="B18" s="15" t="s">
        <v>130</v>
      </c>
      <c r="C18" s="15" t="s">
        <v>118</v>
      </c>
      <c r="D18" s="15" t="s">
        <v>131</v>
      </c>
      <c r="E18" s="7" t="s">
        <v>7</v>
      </c>
      <c r="F18" s="15" t="s">
        <v>132</v>
      </c>
    </row>
    <row r="19" customFormat="false" ht="15" hidden="false" customHeight="true" outlineLevel="0" collapsed="false">
      <c r="A19" s="15" t="s">
        <v>133</v>
      </c>
      <c r="B19" s="15" t="s">
        <v>134</v>
      </c>
      <c r="C19" s="15" t="s">
        <v>118</v>
      </c>
      <c r="D19" s="15" t="s">
        <v>135</v>
      </c>
      <c r="E19" s="7" t="s">
        <v>7</v>
      </c>
      <c r="F19" s="15" t="s">
        <v>136</v>
      </c>
    </row>
    <row r="20" customFormat="false" ht="15" hidden="false" customHeight="true" outlineLevel="0" collapsed="false">
      <c r="A20" s="15" t="s">
        <v>137</v>
      </c>
      <c r="B20" s="15" t="s">
        <v>138</v>
      </c>
      <c r="C20" s="15" t="s">
        <v>118</v>
      </c>
      <c r="D20" s="15" t="s">
        <v>139</v>
      </c>
      <c r="E20" s="5" t="s">
        <v>6</v>
      </c>
      <c r="F20" s="15" t="s">
        <v>140</v>
      </c>
    </row>
    <row r="21" customFormat="false" ht="15" hidden="false" customHeight="true" outlineLevel="0" collapsed="false">
      <c r="A21" s="15" t="s">
        <v>141</v>
      </c>
      <c r="B21" s="15" t="s">
        <v>142</v>
      </c>
      <c r="C21" s="15" t="s">
        <v>118</v>
      </c>
      <c r="D21" s="15" t="s">
        <v>143</v>
      </c>
      <c r="E21" s="7" t="s">
        <v>7</v>
      </c>
      <c r="F21" s="15" t="s">
        <v>144</v>
      </c>
    </row>
    <row r="22" customFormat="false" ht="15" hidden="false" customHeight="true" outlineLevel="0" collapsed="false">
      <c r="A22" s="15" t="s">
        <v>145</v>
      </c>
      <c r="B22" s="15" t="s">
        <v>146</v>
      </c>
      <c r="C22" s="15" t="s">
        <v>118</v>
      </c>
      <c r="D22" s="15" t="s">
        <v>147</v>
      </c>
      <c r="E22" s="5" t="s">
        <v>6</v>
      </c>
      <c r="F22" s="15" t="s">
        <v>148</v>
      </c>
    </row>
    <row r="23" customFormat="false" ht="15" hidden="false" customHeight="true" outlineLevel="0" collapsed="false">
      <c r="A23" s="15" t="s">
        <v>149</v>
      </c>
      <c r="B23" s="15" t="s">
        <v>150</v>
      </c>
      <c r="C23" s="15" t="s">
        <v>118</v>
      </c>
      <c r="D23" s="15" t="s">
        <v>151</v>
      </c>
      <c r="E23" s="9" t="s">
        <v>9</v>
      </c>
      <c r="F23" s="15" t="s">
        <v>152</v>
      </c>
    </row>
    <row r="24" customFormat="false" ht="15" hidden="false" customHeight="true" outlineLevel="0" collapsed="false">
      <c r="A24" s="15" t="s">
        <v>153</v>
      </c>
      <c r="B24" s="15" t="s">
        <v>154</v>
      </c>
      <c r="C24" s="15" t="s">
        <v>118</v>
      </c>
      <c r="D24" s="15" t="s">
        <v>155</v>
      </c>
      <c r="E24" s="9" t="s">
        <v>9</v>
      </c>
      <c r="F24" s="15" t="s">
        <v>156</v>
      </c>
    </row>
    <row r="25" customFormat="false" ht="15" hidden="false" customHeight="true" outlineLevel="0" collapsed="false">
      <c r="A25" s="15" t="s">
        <v>157</v>
      </c>
      <c r="B25" s="15" t="s">
        <v>158</v>
      </c>
      <c r="C25" s="15" t="s">
        <v>118</v>
      </c>
      <c r="D25" s="15" t="s">
        <v>159</v>
      </c>
      <c r="E25" s="9" t="s">
        <v>9</v>
      </c>
      <c r="F25" s="15" t="s">
        <v>160</v>
      </c>
    </row>
    <row r="26" customFormat="false" ht="15" hidden="false" customHeight="true" outlineLevel="0" collapsed="false">
      <c r="A26" s="15" t="s">
        <v>161</v>
      </c>
      <c r="B26" s="15" t="s">
        <v>162</v>
      </c>
      <c r="C26" s="15" t="s">
        <v>118</v>
      </c>
      <c r="D26" s="15" t="s">
        <v>163</v>
      </c>
      <c r="E26" s="10" t="s">
        <v>10</v>
      </c>
      <c r="F26" s="15" t="s">
        <v>164</v>
      </c>
    </row>
    <row r="27" customFormat="false" ht="15" hidden="false" customHeight="true" outlineLevel="0" collapsed="false">
      <c r="A27" s="15" t="s">
        <v>165</v>
      </c>
      <c r="B27" s="15" t="s">
        <v>166</v>
      </c>
      <c r="C27" s="15" t="s">
        <v>118</v>
      </c>
      <c r="D27" s="15" t="s">
        <v>167</v>
      </c>
      <c r="E27" s="11" t="s">
        <v>11</v>
      </c>
      <c r="F27" s="15" t="s">
        <v>168</v>
      </c>
    </row>
    <row r="28" customFormat="false" ht="15" hidden="false" customHeight="true" outlineLevel="0" collapsed="false">
      <c r="A28" s="15" t="s">
        <v>169</v>
      </c>
      <c r="B28" s="15" t="s">
        <v>170</v>
      </c>
      <c r="C28" s="15" t="s">
        <v>118</v>
      </c>
      <c r="D28" s="15" t="s">
        <v>171</v>
      </c>
      <c r="E28" s="11" t="s">
        <v>11</v>
      </c>
      <c r="F28" s="15" t="s">
        <v>168</v>
      </c>
    </row>
    <row r="29" customFormat="false" ht="15" hidden="false" customHeight="true" outlineLevel="0" collapsed="false">
      <c r="A29" s="15" t="s">
        <v>172</v>
      </c>
      <c r="B29" s="15" t="s">
        <v>173</v>
      </c>
      <c r="C29" s="15" t="s">
        <v>174</v>
      </c>
      <c r="D29" s="15" t="s">
        <v>175</v>
      </c>
      <c r="E29" s="10" t="s">
        <v>10</v>
      </c>
      <c r="F29" s="15" t="s">
        <v>176</v>
      </c>
    </row>
    <row r="30" customFormat="false" ht="15" hidden="false" customHeight="true" outlineLevel="0" collapsed="false">
      <c r="A30" s="15" t="s">
        <v>177</v>
      </c>
      <c r="B30" s="15" t="s">
        <v>178</v>
      </c>
      <c r="C30" s="15" t="s">
        <v>174</v>
      </c>
      <c r="D30" s="15" t="s">
        <v>179</v>
      </c>
      <c r="E30" s="10" t="s">
        <v>10</v>
      </c>
      <c r="F30" s="15" t="s">
        <v>176</v>
      </c>
    </row>
    <row r="31" customFormat="false" ht="15" hidden="false" customHeight="true" outlineLevel="0" collapsed="false">
      <c r="A31" s="15" t="s">
        <v>180</v>
      </c>
      <c r="B31" s="15" t="s">
        <v>181</v>
      </c>
      <c r="C31" s="15" t="s">
        <v>174</v>
      </c>
      <c r="D31" s="15" t="s">
        <v>182</v>
      </c>
      <c r="E31" s="10" t="s">
        <v>10</v>
      </c>
      <c r="F31" s="15" t="s">
        <v>183</v>
      </c>
    </row>
    <row r="32" customFormat="false" ht="15" hidden="false" customHeight="true" outlineLevel="0" collapsed="false">
      <c r="A32" s="15" t="s">
        <v>184</v>
      </c>
      <c r="B32" s="15" t="s">
        <v>185</v>
      </c>
      <c r="C32" s="15" t="s">
        <v>174</v>
      </c>
      <c r="D32" s="15" t="s">
        <v>186</v>
      </c>
      <c r="E32" s="10" t="s">
        <v>10</v>
      </c>
      <c r="F32" s="15" t="s">
        <v>187</v>
      </c>
    </row>
    <row r="33" customFormat="false" ht="15" hidden="false" customHeight="true" outlineLevel="0" collapsed="false">
      <c r="A33" s="15" t="s">
        <v>188</v>
      </c>
      <c r="B33" s="15" t="s">
        <v>189</v>
      </c>
      <c r="C33" s="15" t="s">
        <v>174</v>
      </c>
      <c r="D33" s="15" t="s">
        <v>190</v>
      </c>
      <c r="E33" s="10" t="s">
        <v>10</v>
      </c>
      <c r="F33" s="15" t="s">
        <v>191</v>
      </c>
    </row>
    <row r="34" customFormat="false" ht="15" hidden="false" customHeight="true" outlineLevel="0" collapsed="false">
      <c r="A34" s="15" t="s">
        <v>192</v>
      </c>
      <c r="B34" s="15" t="s">
        <v>193</v>
      </c>
      <c r="C34" s="15" t="s">
        <v>174</v>
      </c>
      <c r="D34" s="15" t="s">
        <v>194</v>
      </c>
      <c r="E34" s="7" t="s">
        <v>7</v>
      </c>
      <c r="F34" s="15" t="s">
        <v>195</v>
      </c>
    </row>
    <row r="35" customFormat="false" ht="15" hidden="false" customHeight="true" outlineLevel="0" collapsed="false">
      <c r="A35" s="15" t="s">
        <v>196</v>
      </c>
      <c r="B35" s="15" t="s">
        <v>197</v>
      </c>
      <c r="C35" s="15" t="s">
        <v>198</v>
      </c>
      <c r="D35" s="15" t="s">
        <v>199</v>
      </c>
      <c r="E35" s="10" t="s">
        <v>10</v>
      </c>
      <c r="F35" s="15" t="s">
        <v>200</v>
      </c>
    </row>
    <row r="36" customFormat="false" ht="15" hidden="false" customHeight="true" outlineLevel="0" collapsed="false">
      <c r="A36" s="15" t="s">
        <v>201</v>
      </c>
      <c r="B36" s="15" t="s">
        <v>202</v>
      </c>
      <c r="C36" s="15" t="s">
        <v>198</v>
      </c>
      <c r="D36" s="15" t="s">
        <v>203</v>
      </c>
      <c r="E36" s="10" t="s">
        <v>10</v>
      </c>
      <c r="F36" s="15" t="s">
        <v>204</v>
      </c>
    </row>
    <row r="37" customFormat="false" ht="15" hidden="false" customHeight="true" outlineLevel="0" collapsed="false">
      <c r="A37" s="15" t="s">
        <v>205</v>
      </c>
      <c r="B37" s="15" t="s">
        <v>206</v>
      </c>
      <c r="C37" s="15" t="s">
        <v>198</v>
      </c>
      <c r="D37" s="15" t="s">
        <v>207</v>
      </c>
      <c r="E37" s="9" t="s">
        <v>9</v>
      </c>
      <c r="F37" s="15" t="s">
        <v>208</v>
      </c>
    </row>
    <row r="38" customFormat="false" ht="15" hidden="false" customHeight="true" outlineLevel="0" collapsed="false">
      <c r="A38" s="15" t="s">
        <v>209</v>
      </c>
      <c r="B38" s="15" t="s">
        <v>210</v>
      </c>
      <c r="C38" s="15" t="s">
        <v>198</v>
      </c>
      <c r="D38" s="15" t="s">
        <v>211</v>
      </c>
      <c r="E38" s="10" t="s">
        <v>10</v>
      </c>
      <c r="F38" s="15" t="s">
        <v>212</v>
      </c>
    </row>
    <row r="39" customFormat="false" ht="15" hidden="false" customHeight="true" outlineLevel="0" collapsed="false">
      <c r="A39" s="15" t="s">
        <v>213</v>
      </c>
      <c r="B39" s="15" t="s">
        <v>214</v>
      </c>
      <c r="C39" s="15" t="s">
        <v>198</v>
      </c>
      <c r="D39" s="15" t="s">
        <v>215</v>
      </c>
      <c r="E39" s="5" t="s">
        <v>6</v>
      </c>
      <c r="F39" s="15" t="s">
        <v>216</v>
      </c>
    </row>
    <row r="40" customFormat="false" ht="23.25" hidden="false" customHeight="true" outlineLevel="0" collapsed="false">
      <c r="A40" s="15" t="s">
        <v>217</v>
      </c>
      <c r="B40" s="15" t="s">
        <v>218</v>
      </c>
      <c r="C40" s="15" t="s">
        <v>219</v>
      </c>
      <c r="D40" s="15" t="s">
        <v>220</v>
      </c>
      <c r="E40" s="7" t="s">
        <v>7</v>
      </c>
      <c r="F40" s="15" t="s">
        <v>221</v>
      </c>
    </row>
    <row r="41" customFormat="false" ht="15" hidden="false" customHeight="true" outlineLevel="0" collapsed="false">
      <c r="A41" s="15" t="s">
        <v>222</v>
      </c>
      <c r="B41" s="15" t="s">
        <v>223</v>
      </c>
      <c r="C41" s="15" t="s">
        <v>219</v>
      </c>
      <c r="D41" s="15" t="s">
        <v>224</v>
      </c>
      <c r="E41" s="7" t="s">
        <v>7</v>
      </c>
      <c r="F41" s="15" t="s">
        <v>225</v>
      </c>
    </row>
    <row r="42" customFormat="false" ht="15" hidden="false" customHeight="true" outlineLevel="0" collapsed="false">
      <c r="A42" s="15" t="s">
        <v>226</v>
      </c>
      <c r="B42" s="15" t="s">
        <v>227</v>
      </c>
      <c r="C42" s="15" t="s">
        <v>219</v>
      </c>
      <c r="D42" s="15" t="s">
        <v>228</v>
      </c>
      <c r="E42" s="9" t="s">
        <v>9</v>
      </c>
      <c r="F42" s="15" t="s">
        <v>229</v>
      </c>
    </row>
    <row r="43" customFormat="false" ht="15" hidden="false" customHeight="true" outlineLevel="0" collapsed="false">
      <c r="A43" s="15" t="s">
        <v>230</v>
      </c>
      <c r="B43" s="15" t="s">
        <v>231</v>
      </c>
      <c r="C43" s="15" t="s">
        <v>219</v>
      </c>
      <c r="D43" s="15" t="s">
        <v>232</v>
      </c>
      <c r="E43" s="10" t="s">
        <v>10</v>
      </c>
      <c r="F43" s="15" t="s">
        <v>233</v>
      </c>
    </row>
    <row r="44" customFormat="false" ht="15" hidden="false" customHeight="true" outlineLevel="0" collapsed="false">
      <c r="A44" s="15" t="s">
        <v>234</v>
      </c>
      <c r="B44" s="15" t="s">
        <v>235</v>
      </c>
      <c r="C44" s="15" t="s">
        <v>219</v>
      </c>
      <c r="D44" s="15" t="s">
        <v>236</v>
      </c>
      <c r="E44" s="9" t="s">
        <v>9</v>
      </c>
      <c r="F44" s="15" t="s">
        <v>237</v>
      </c>
    </row>
    <row r="45" customFormat="false" ht="15" hidden="false" customHeight="true" outlineLevel="0" collapsed="false">
      <c r="A45" s="15" t="s">
        <v>238</v>
      </c>
      <c r="B45" s="15" t="s">
        <v>239</v>
      </c>
      <c r="C45" s="15" t="s">
        <v>219</v>
      </c>
      <c r="D45" s="15" t="s">
        <v>240</v>
      </c>
      <c r="E45" s="9" t="s">
        <v>9</v>
      </c>
      <c r="F45" s="15" t="s">
        <v>237</v>
      </c>
    </row>
    <row r="46" customFormat="false" ht="15" hidden="false" customHeight="true" outlineLevel="0" collapsed="false">
      <c r="A46" s="15" t="s">
        <v>241</v>
      </c>
      <c r="B46" s="15" t="s">
        <v>242</v>
      </c>
      <c r="C46" s="15" t="s">
        <v>219</v>
      </c>
      <c r="D46" s="15" t="s">
        <v>243</v>
      </c>
      <c r="E46" s="7" t="s">
        <v>7</v>
      </c>
      <c r="F46" s="15" t="s">
        <v>244</v>
      </c>
    </row>
    <row r="47" customFormat="false" ht="15" hidden="false" customHeight="true" outlineLevel="0" collapsed="false">
      <c r="A47" s="15" t="s">
        <v>245</v>
      </c>
      <c r="B47" s="15" t="s">
        <v>246</v>
      </c>
      <c r="C47" s="15" t="s">
        <v>42</v>
      </c>
      <c r="D47" s="15" t="s">
        <v>247</v>
      </c>
      <c r="E47" s="10" t="s">
        <v>10</v>
      </c>
      <c r="F47" s="15" t="s">
        <v>248</v>
      </c>
    </row>
    <row r="48" customFormat="false" ht="15" hidden="false" customHeight="true" outlineLevel="0" collapsed="false">
      <c r="A48" s="15" t="s">
        <v>249</v>
      </c>
      <c r="B48" s="15" t="s">
        <v>250</v>
      </c>
      <c r="C48" s="15" t="s">
        <v>42</v>
      </c>
      <c r="D48" s="15" t="s">
        <v>251</v>
      </c>
      <c r="E48" s="11" t="s">
        <v>11</v>
      </c>
      <c r="F48" s="15" t="s">
        <v>168</v>
      </c>
    </row>
    <row r="49" customFormat="false" ht="15" hidden="false" customHeight="true" outlineLevel="0" collapsed="false">
      <c r="A49" s="15" t="s">
        <v>252</v>
      </c>
      <c r="B49" s="15" t="s">
        <v>253</v>
      </c>
      <c r="C49" s="15" t="s">
        <v>42</v>
      </c>
      <c r="D49" s="15" t="s">
        <v>254</v>
      </c>
      <c r="E49" s="9" t="s">
        <v>9</v>
      </c>
      <c r="F49" s="15" t="s">
        <v>255</v>
      </c>
    </row>
    <row r="50" customFormat="false" ht="15" hidden="false" customHeight="true" outlineLevel="0" collapsed="false">
      <c r="A50" s="15" t="s">
        <v>256</v>
      </c>
      <c r="B50" s="15" t="s">
        <v>257</v>
      </c>
      <c r="C50" s="15" t="s">
        <v>42</v>
      </c>
      <c r="D50" s="15" t="s">
        <v>258</v>
      </c>
      <c r="E50" s="9" t="s">
        <v>9</v>
      </c>
      <c r="F50" s="15" t="s">
        <v>259</v>
      </c>
    </row>
    <row r="51" customFormat="false" ht="15" hidden="false" customHeight="true" outlineLevel="0" collapsed="false">
      <c r="A51" s="15" t="s">
        <v>260</v>
      </c>
      <c r="B51" s="15" t="s">
        <v>261</v>
      </c>
      <c r="C51" s="15" t="s">
        <v>42</v>
      </c>
      <c r="D51" s="15" t="s">
        <v>262</v>
      </c>
      <c r="E51" s="9" t="s">
        <v>9</v>
      </c>
      <c r="F51" s="15" t="s">
        <v>237</v>
      </c>
    </row>
    <row r="52" customFormat="false" ht="15" hidden="false" customHeight="true" outlineLevel="0" collapsed="false">
      <c r="A52" s="15" t="s">
        <v>263</v>
      </c>
      <c r="B52" s="15" t="s">
        <v>264</v>
      </c>
      <c r="C52" s="15" t="s">
        <v>42</v>
      </c>
      <c r="D52" s="15" t="s">
        <v>265</v>
      </c>
      <c r="E52" s="9" t="s">
        <v>9</v>
      </c>
      <c r="F52" s="15" t="s">
        <v>237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3" min="3" style="1" width="13"/>
    <col collapsed="false" customWidth="true" hidden="false" outlineLevel="0" max="4" min="4" style="1" width="64"/>
  </cols>
  <sheetData>
    <row r="1" customFormat="false" ht="19.5" hidden="false" customHeight="true" outlineLevel="0" collapsed="false">
      <c r="A1" s="2" t="s">
        <v>266</v>
      </c>
      <c r="B1" s="2"/>
      <c r="C1" s="2"/>
      <c r="D1" s="2"/>
    </row>
    <row r="2" customFormat="false" ht="15" hidden="false" customHeight="true" outlineLevel="0" collapsed="false">
      <c r="A2" s="3" t="s">
        <v>21</v>
      </c>
      <c r="B2" s="3"/>
      <c r="C2" s="3"/>
      <c r="D2" s="3"/>
    </row>
    <row r="4" customFormat="false" ht="15" hidden="false" customHeight="true" outlineLevel="0" collapsed="false">
      <c r="A4" s="4" t="s">
        <v>267</v>
      </c>
      <c r="B4" s="4" t="s">
        <v>268</v>
      </c>
      <c r="C4" s="4" t="s">
        <v>2</v>
      </c>
      <c r="D4" s="4" t="s">
        <v>76</v>
      </c>
    </row>
    <row r="5" customFormat="false" ht="15" hidden="false" customHeight="true" outlineLevel="0" collapsed="false">
      <c r="A5" s="15" t="s">
        <v>269</v>
      </c>
      <c r="B5" s="15" t="s">
        <v>270</v>
      </c>
      <c r="C5" s="7" t="s">
        <v>7</v>
      </c>
      <c r="D5" s="15" t="s">
        <v>271</v>
      </c>
    </row>
    <row r="6" customFormat="false" ht="15" hidden="false" customHeight="true" outlineLevel="0" collapsed="false">
      <c r="A6" s="15" t="s">
        <v>272</v>
      </c>
      <c r="B6" s="15" t="s">
        <v>273</v>
      </c>
      <c r="C6" s="7" t="s">
        <v>7</v>
      </c>
      <c r="D6" s="15" t="s">
        <v>274</v>
      </c>
    </row>
    <row r="7" customFormat="false" ht="15" hidden="false" customHeight="true" outlineLevel="0" collapsed="false">
      <c r="A7" s="15" t="s">
        <v>275</v>
      </c>
      <c r="B7" s="15" t="s">
        <v>276</v>
      </c>
      <c r="C7" s="9" t="s">
        <v>9</v>
      </c>
      <c r="D7" s="15" t="s">
        <v>277</v>
      </c>
    </row>
    <row r="8" customFormat="false" ht="15" hidden="false" customHeight="true" outlineLevel="0" collapsed="false">
      <c r="A8" s="15" t="s">
        <v>278</v>
      </c>
      <c r="B8" s="15" t="s">
        <v>279</v>
      </c>
      <c r="C8" s="9" t="s">
        <v>9</v>
      </c>
      <c r="D8" s="15" t="s">
        <v>280</v>
      </c>
    </row>
    <row r="9" customFormat="false" ht="15" hidden="false" customHeight="true" outlineLevel="0" collapsed="false">
      <c r="A9" s="15" t="s">
        <v>281</v>
      </c>
      <c r="B9" s="15" t="s">
        <v>282</v>
      </c>
      <c r="C9" s="9" t="s">
        <v>9</v>
      </c>
      <c r="D9" s="15" t="s">
        <v>283</v>
      </c>
    </row>
    <row r="10" customFormat="false" ht="15" hidden="false" customHeight="true" outlineLevel="0" collapsed="false">
      <c r="A10" s="15" t="s">
        <v>284</v>
      </c>
      <c r="B10" s="15" t="s">
        <v>52</v>
      </c>
      <c r="C10" s="8" t="s">
        <v>8</v>
      </c>
      <c r="D10" s="15" t="s">
        <v>285</v>
      </c>
    </row>
    <row r="11" customFormat="false" ht="15" hidden="false" customHeight="true" outlineLevel="0" collapsed="false">
      <c r="A11" s="15" t="s">
        <v>286</v>
      </c>
      <c r="B11" s="15" t="s">
        <v>287</v>
      </c>
      <c r="C11" s="7" t="s">
        <v>7</v>
      </c>
      <c r="D11" s="15" t="s">
        <v>288</v>
      </c>
    </row>
    <row r="12" customFormat="false" ht="15" hidden="false" customHeight="true" outlineLevel="0" collapsed="false">
      <c r="A12" s="15" t="s">
        <v>289</v>
      </c>
      <c r="B12" s="15" t="s">
        <v>290</v>
      </c>
      <c r="C12" s="7" t="s">
        <v>7</v>
      </c>
      <c r="D12" s="15" t="s">
        <v>291</v>
      </c>
    </row>
    <row r="13" customFormat="false" ht="15" hidden="false" customHeight="true" outlineLevel="0" collapsed="false">
      <c r="A13" s="15" t="s">
        <v>292</v>
      </c>
      <c r="B13" s="15" t="s">
        <v>293</v>
      </c>
      <c r="C13" s="7" t="s">
        <v>7</v>
      </c>
      <c r="D13" s="15" t="s">
        <v>294</v>
      </c>
    </row>
    <row r="14" customFormat="false" ht="15" hidden="false" customHeight="true" outlineLevel="0" collapsed="false">
      <c r="A14" s="15" t="s">
        <v>295</v>
      </c>
      <c r="B14" s="15" t="s">
        <v>296</v>
      </c>
      <c r="C14" s="9" t="s">
        <v>9</v>
      </c>
      <c r="D14" s="15" t="s">
        <v>297</v>
      </c>
    </row>
    <row r="15" customFormat="false" ht="15" hidden="false" customHeight="true" outlineLevel="0" collapsed="false">
      <c r="A15" s="15" t="s">
        <v>298</v>
      </c>
      <c r="B15" s="15" t="s">
        <v>299</v>
      </c>
      <c r="C15" s="7" t="s">
        <v>7</v>
      </c>
      <c r="D15" s="15" t="s">
        <v>300</v>
      </c>
    </row>
    <row r="16" customFormat="false" ht="15" hidden="false" customHeight="true" outlineLevel="0" collapsed="false">
      <c r="A16" s="15" t="s">
        <v>301</v>
      </c>
      <c r="B16" s="15" t="s">
        <v>302</v>
      </c>
      <c r="C16" s="8" t="s">
        <v>8</v>
      </c>
      <c r="D16" s="15" t="s">
        <v>303</v>
      </c>
    </row>
    <row r="17" customFormat="false" ht="15" hidden="false" customHeight="true" outlineLevel="0" collapsed="false">
      <c r="A17" s="15" t="s">
        <v>304</v>
      </c>
      <c r="B17" s="15" t="s">
        <v>305</v>
      </c>
      <c r="C17" s="7" t="s">
        <v>7</v>
      </c>
      <c r="D17" s="15" t="s">
        <v>306</v>
      </c>
    </row>
    <row r="18" customFormat="false" ht="15" hidden="false" customHeight="true" outlineLevel="0" collapsed="false">
      <c r="A18" s="15" t="s">
        <v>307</v>
      </c>
      <c r="B18" s="15" t="s">
        <v>308</v>
      </c>
      <c r="C18" s="7" t="s">
        <v>7</v>
      </c>
      <c r="D18" s="15" t="s">
        <v>309</v>
      </c>
    </row>
    <row r="19" customFormat="false" ht="15" hidden="false" customHeight="true" outlineLevel="0" collapsed="false">
      <c r="A19" s="15" t="s">
        <v>310</v>
      </c>
      <c r="B19" s="15" t="s">
        <v>311</v>
      </c>
      <c r="C19" s="8" t="s">
        <v>8</v>
      </c>
      <c r="D19" s="15" t="s">
        <v>312</v>
      </c>
    </row>
    <row r="20" customFormat="false" ht="15" hidden="false" customHeight="true" outlineLevel="0" collapsed="false">
      <c r="A20" s="15" t="s">
        <v>313</v>
      </c>
      <c r="B20" s="15" t="s">
        <v>314</v>
      </c>
      <c r="C20" s="7" t="s">
        <v>7</v>
      </c>
      <c r="D20" s="15" t="s">
        <v>315</v>
      </c>
    </row>
    <row r="21" customFormat="false" ht="15" hidden="false" customHeight="true" outlineLevel="0" collapsed="false">
      <c r="A21" s="15" t="s">
        <v>316</v>
      </c>
      <c r="B21" s="15" t="s">
        <v>317</v>
      </c>
      <c r="C21" s="9" t="s">
        <v>9</v>
      </c>
      <c r="D21" s="15" t="s">
        <v>318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5"/>
    <col collapsed="false" customWidth="true" hidden="false" outlineLevel="0" max="4" min="4" style="1" width="40"/>
    <col collapsed="false" customWidth="true" hidden="false" outlineLevel="0" max="5" min="5" style="1" width="34"/>
    <col collapsed="false" customWidth="true" hidden="false" outlineLevel="0" max="6" min="6" style="1" width="40"/>
    <col collapsed="false" customWidth="true" hidden="false" outlineLevel="0" max="7" min="7" style="1" width="10"/>
    <col collapsed="false" customWidth="true" hidden="false" outlineLevel="0" max="8" min="8" style="1" width="18"/>
  </cols>
  <sheetData>
    <row r="1" customFormat="false" ht="19.5" hidden="false" customHeight="true" outlineLevel="0" collapsed="false">
      <c r="A1" s="2" t="s">
        <v>319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320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321</v>
      </c>
      <c r="B4" s="4" t="s">
        <v>322</v>
      </c>
      <c r="C4" s="4" t="s">
        <v>74</v>
      </c>
      <c r="D4" s="4" t="s">
        <v>323</v>
      </c>
      <c r="E4" s="4" t="s">
        <v>324</v>
      </c>
      <c r="F4" s="4" t="s">
        <v>325</v>
      </c>
      <c r="G4" s="4" t="s">
        <v>326</v>
      </c>
      <c r="H4" s="4" t="s">
        <v>2</v>
      </c>
    </row>
    <row r="5" customFormat="false" ht="23.25" hidden="false" customHeight="true" outlineLevel="0" collapsed="false">
      <c r="A5" s="15" t="s">
        <v>327</v>
      </c>
      <c r="B5" s="16" t="s">
        <v>328</v>
      </c>
      <c r="C5" s="15" t="s">
        <v>329</v>
      </c>
      <c r="D5" s="15" t="s">
        <v>330</v>
      </c>
      <c r="E5" s="15" t="s">
        <v>331</v>
      </c>
      <c r="F5" s="15" t="s">
        <v>332</v>
      </c>
      <c r="G5" s="17" t="s">
        <v>30</v>
      </c>
      <c r="H5" s="8" t="s">
        <v>333</v>
      </c>
    </row>
    <row r="6" customFormat="false" ht="23.25" hidden="false" customHeight="true" outlineLevel="0" collapsed="false">
      <c r="A6" s="15" t="s">
        <v>334</v>
      </c>
      <c r="B6" s="16" t="s">
        <v>328</v>
      </c>
      <c r="C6" s="15" t="s">
        <v>335</v>
      </c>
      <c r="D6" s="15" t="s">
        <v>336</v>
      </c>
      <c r="E6" s="15" t="s">
        <v>337</v>
      </c>
      <c r="F6" s="15" t="s">
        <v>338</v>
      </c>
      <c r="G6" s="18" t="s">
        <v>68</v>
      </c>
      <c r="H6" s="8" t="s">
        <v>333</v>
      </c>
    </row>
    <row r="7" customFormat="false" ht="23.25" hidden="false" customHeight="true" outlineLevel="0" collapsed="false">
      <c r="A7" s="15" t="s">
        <v>339</v>
      </c>
      <c r="B7" s="16" t="s">
        <v>328</v>
      </c>
      <c r="C7" s="15" t="s">
        <v>340</v>
      </c>
      <c r="D7" s="15" t="s">
        <v>341</v>
      </c>
      <c r="E7" s="15" t="s">
        <v>342</v>
      </c>
      <c r="F7" s="15" t="s">
        <v>343</v>
      </c>
      <c r="G7" s="18" t="s">
        <v>68</v>
      </c>
      <c r="H7" s="8" t="s">
        <v>333</v>
      </c>
    </row>
    <row r="8" customFormat="false" ht="23.25" hidden="false" customHeight="true" outlineLevel="0" collapsed="false">
      <c r="A8" s="15" t="s">
        <v>344</v>
      </c>
      <c r="B8" s="16" t="s">
        <v>328</v>
      </c>
      <c r="C8" s="15" t="s">
        <v>345</v>
      </c>
      <c r="D8" s="15" t="s">
        <v>346</v>
      </c>
      <c r="E8" s="15" t="s">
        <v>347</v>
      </c>
      <c r="F8" s="15" t="s">
        <v>348</v>
      </c>
      <c r="G8" s="17" t="s">
        <v>30</v>
      </c>
      <c r="H8" s="8" t="s">
        <v>333</v>
      </c>
    </row>
    <row r="9" customFormat="false" ht="34.5" hidden="false" customHeight="true" outlineLevel="0" collapsed="false">
      <c r="A9" s="15" t="s">
        <v>349</v>
      </c>
      <c r="B9" s="16" t="s">
        <v>328</v>
      </c>
      <c r="C9" s="15" t="s">
        <v>350</v>
      </c>
      <c r="D9" s="15" t="s">
        <v>351</v>
      </c>
      <c r="E9" s="15" t="s">
        <v>352</v>
      </c>
      <c r="F9" s="15" t="s">
        <v>353</v>
      </c>
      <c r="G9" s="17" t="s">
        <v>30</v>
      </c>
      <c r="H9" s="8" t="s">
        <v>333</v>
      </c>
    </row>
    <row r="10" customFormat="false" ht="23.25" hidden="false" customHeight="true" outlineLevel="0" collapsed="false">
      <c r="A10" s="15" t="s">
        <v>354</v>
      </c>
      <c r="B10" s="16" t="s">
        <v>328</v>
      </c>
      <c r="C10" s="15" t="s">
        <v>355</v>
      </c>
      <c r="D10" s="15" t="s">
        <v>356</v>
      </c>
      <c r="E10" s="15" t="s">
        <v>357</v>
      </c>
      <c r="F10" s="15" t="s">
        <v>358</v>
      </c>
      <c r="G10" s="18" t="s">
        <v>68</v>
      </c>
      <c r="H10" s="8" t="s">
        <v>333</v>
      </c>
    </row>
    <row r="11" customFormat="false" ht="23.25" hidden="false" customHeight="true" outlineLevel="0" collapsed="false">
      <c r="A11" s="15" t="s">
        <v>359</v>
      </c>
      <c r="B11" s="16" t="s">
        <v>328</v>
      </c>
      <c r="C11" s="15" t="s">
        <v>360</v>
      </c>
      <c r="D11" s="15" t="s">
        <v>361</v>
      </c>
      <c r="E11" s="15" t="s">
        <v>362</v>
      </c>
      <c r="F11" s="15" t="s">
        <v>363</v>
      </c>
      <c r="G11" s="17" t="s">
        <v>30</v>
      </c>
      <c r="H11" s="8" t="s">
        <v>333</v>
      </c>
    </row>
    <row r="12" customFormat="false" ht="23.25" hidden="false" customHeight="true" outlineLevel="0" collapsed="false">
      <c r="A12" s="15" t="s">
        <v>364</v>
      </c>
      <c r="B12" s="16" t="s">
        <v>328</v>
      </c>
      <c r="C12" s="15" t="s">
        <v>365</v>
      </c>
      <c r="D12" s="15" t="s">
        <v>366</v>
      </c>
      <c r="E12" s="15" t="s">
        <v>367</v>
      </c>
      <c r="F12" s="15" t="s">
        <v>368</v>
      </c>
      <c r="G12" s="18" t="s">
        <v>68</v>
      </c>
      <c r="H12" s="8" t="s">
        <v>333</v>
      </c>
    </row>
    <row r="13" customFormat="false" ht="23.25" hidden="false" customHeight="true" outlineLevel="0" collapsed="false">
      <c r="A13" s="15" t="s">
        <v>369</v>
      </c>
      <c r="B13" s="16" t="s">
        <v>328</v>
      </c>
      <c r="C13" s="15" t="s">
        <v>370</v>
      </c>
      <c r="D13" s="15" t="s">
        <v>371</v>
      </c>
      <c r="E13" s="15" t="s">
        <v>372</v>
      </c>
      <c r="F13" s="15" t="s">
        <v>373</v>
      </c>
      <c r="G13" s="17" t="s">
        <v>30</v>
      </c>
      <c r="H13" s="8" t="s">
        <v>333</v>
      </c>
    </row>
    <row r="14" customFormat="false" ht="23.25" hidden="false" customHeight="true" outlineLevel="0" collapsed="false">
      <c r="A14" s="15" t="s">
        <v>374</v>
      </c>
      <c r="B14" s="16" t="s">
        <v>328</v>
      </c>
      <c r="C14" s="15" t="s">
        <v>375</v>
      </c>
      <c r="D14" s="15" t="s">
        <v>376</v>
      </c>
      <c r="E14" s="15" t="s">
        <v>377</v>
      </c>
      <c r="F14" s="15" t="s">
        <v>378</v>
      </c>
      <c r="G14" s="18" t="s">
        <v>68</v>
      </c>
      <c r="H14" s="7" t="s">
        <v>379</v>
      </c>
    </row>
    <row r="15" customFormat="false" ht="23.25" hidden="false" customHeight="true" outlineLevel="0" collapsed="false">
      <c r="A15" s="15" t="s">
        <v>380</v>
      </c>
      <c r="B15" s="16" t="s">
        <v>328</v>
      </c>
      <c r="C15" s="15" t="s">
        <v>381</v>
      </c>
      <c r="D15" s="15" t="s">
        <v>382</v>
      </c>
      <c r="E15" s="15" t="s">
        <v>383</v>
      </c>
      <c r="F15" s="15" t="s">
        <v>384</v>
      </c>
      <c r="G15" s="18" t="s">
        <v>68</v>
      </c>
      <c r="H15" s="8" t="s">
        <v>333</v>
      </c>
    </row>
    <row r="16" customFormat="false" ht="23.25" hidden="false" customHeight="true" outlineLevel="0" collapsed="false">
      <c r="A16" s="15" t="s">
        <v>385</v>
      </c>
      <c r="B16" s="19" t="s">
        <v>386</v>
      </c>
      <c r="C16" s="15" t="s">
        <v>387</v>
      </c>
      <c r="D16" s="15" t="s">
        <v>388</v>
      </c>
      <c r="E16" s="15" t="s">
        <v>389</v>
      </c>
      <c r="F16" s="15" t="s">
        <v>390</v>
      </c>
      <c r="G16" s="20" t="s">
        <v>34</v>
      </c>
      <c r="H16" s="5" t="s">
        <v>391</v>
      </c>
    </row>
    <row r="17" customFormat="false" ht="23.25" hidden="false" customHeight="true" outlineLevel="0" collapsed="false">
      <c r="A17" s="15" t="s">
        <v>392</v>
      </c>
      <c r="B17" s="19" t="s">
        <v>386</v>
      </c>
      <c r="C17" s="15" t="s">
        <v>393</v>
      </c>
      <c r="D17" s="15" t="s">
        <v>394</v>
      </c>
      <c r="E17" s="15" t="s">
        <v>395</v>
      </c>
      <c r="F17" s="15" t="s">
        <v>396</v>
      </c>
      <c r="G17" s="17" t="s">
        <v>30</v>
      </c>
      <c r="H17" s="5" t="s">
        <v>391</v>
      </c>
    </row>
    <row r="18" customFormat="false" ht="23.25" hidden="false" customHeight="true" outlineLevel="0" collapsed="false">
      <c r="A18" s="15" t="s">
        <v>397</v>
      </c>
      <c r="B18" s="19" t="s">
        <v>386</v>
      </c>
      <c r="C18" s="15" t="s">
        <v>393</v>
      </c>
      <c r="D18" s="15" t="s">
        <v>398</v>
      </c>
      <c r="E18" s="15" t="s">
        <v>399</v>
      </c>
      <c r="F18" s="15" t="s">
        <v>400</v>
      </c>
      <c r="G18" s="17" t="s">
        <v>30</v>
      </c>
      <c r="H18" s="5" t="s">
        <v>391</v>
      </c>
    </row>
    <row r="19" customFormat="false" ht="23.25" hidden="false" customHeight="true" outlineLevel="0" collapsed="false">
      <c r="A19" s="15" t="s">
        <v>401</v>
      </c>
      <c r="B19" s="19" t="s">
        <v>386</v>
      </c>
      <c r="C19" s="15" t="s">
        <v>402</v>
      </c>
      <c r="D19" s="15" t="s">
        <v>403</v>
      </c>
      <c r="E19" s="15" t="s">
        <v>404</v>
      </c>
      <c r="F19" s="15" t="s">
        <v>405</v>
      </c>
      <c r="G19" s="17" t="s">
        <v>30</v>
      </c>
      <c r="H19" s="5" t="s">
        <v>391</v>
      </c>
    </row>
    <row r="20" customFormat="false" ht="23.25" hidden="false" customHeight="true" outlineLevel="0" collapsed="false">
      <c r="A20" s="15" t="s">
        <v>406</v>
      </c>
      <c r="B20" s="19" t="s">
        <v>386</v>
      </c>
      <c r="C20" s="15" t="s">
        <v>407</v>
      </c>
      <c r="D20" s="15" t="s">
        <v>408</v>
      </c>
      <c r="E20" s="15" t="s">
        <v>409</v>
      </c>
      <c r="F20" s="15" t="s">
        <v>410</v>
      </c>
      <c r="G20" s="17" t="s">
        <v>30</v>
      </c>
      <c r="H20" s="5" t="s">
        <v>391</v>
      </c>
    </row>
    <row r="21" customFormat="false" ht="15" hidden="false" customHeight="true" outlineLevel="0" collapsed="false">
      <c r="A21" s="15" t="s">
        <v>411</v>
      </c>
      <c r="B21" s="19" t="s">
        <v>386</v>
      </c>
      <c r="C21" s="15" t="s">
        <v>118</v>
      </c>
      <c r="D21" s="15" t="s">
        <v>412</v>
      </c>
      <c r="E21" s="15" t="s">
        <v>413</v>
      </c>
      <c r="F21" s="15" t="s">
        <v>414</v>
      </c>
      <c r="G21" s="17" t="s">
        <v>30</v>
      </c>
      <c r="H21" s="5" t="s">
        <v>391</v>
      </c>
    </row>
    <row r="22" customFormat="false" ht="23.25" hidden="false" customHeight="true" outlineLevel="0" collapsed="false">
      <c r="A22" s="15" t="s">
        <v>415</v>
      </c>
      <c r="B22" s="19" t="s">
        <v>386</v>
      </c>
      <c r="C22" s="15" t="s">
        <v>416</v>
      </c>
      <c r="D22" s="15" t="s">
        <v>417</v>
      </c>
      <c r="E22" s="15" t="s">
        <v>418</v>
      </c>
      <c r="F22" s="15" t="s">
        <v>419</v>
      </c>
      <c r="G22" s="18" t="s">
        <v>68</v>
      </c>
      <c r="H22" s="5" t="s">
        <v>391</v>
      </c>
    </row>
    <row r="23" customFormat="false" ht="23.25" hidden="false" customHeight="true" outlineLevel="0" collapsed="false">
      <c r="A23" s="15" t="s">
        <v>420</v>
      </c>
      <c r="B23" s="19" t="s">
        <v>386</v>
      </c>
      <c r="C23" s="15" t="s">
        <v>421</v>
      </c>
      <c r="D23" s="15" t="s">
        <v>422</v>
      </c>
      <c r="E23" s="15" t="s">
        <v>423</v>
      </c>
      <c r="F23" s="15" t="s">
        <v>424</v>
      </c>
      <c r="G23" s="17" t="s">
        <v>30</v>
      </c>
      <c r="H23" s="5" t="s">
        <v>391</v>
      </c>
    </row>
    <row r="24" customFormat="false" ht="23.25" hidden="false" customHeight="true" outlineLevel="0" collapsed="false">
      <c r="A24" s="15" t="s">
        <v>425</v>
      </c>
      <c r="B24" s="19" t="s">
        <v>386</v>
      </c>
      <c r="C24" s="15" t="s">
        <v>426</v>
      </c>
      <c r="D24" s="15" t="s">
        <v>427</v>
      </c>
      <c r="E24" s="15" t="s">
        <v>428</v>
      </c>
      <c r="F24" s="15" t="s">
        <v>429</v>
      </c>
      <c r="G24" s="17" t="s">
        <v>30</v>
      </c>
      <c r="H24" s="5" t="s">
        <v>391</v>
      </c>
    </row>
    <row r="25" customFormat="false" ht="23.25" hidden="false" customHeight="true" outlineLevel="0" collapsed="false">
      <c r="A25" s="15" t="s">
        <v>430</v>
      </c>
      <c r="B25" s="19" t="s">
        <v>386</v>
      </c>
      <c r="C25" s="15" t="s">
        <v>431</v>
      </c>
      <c r="D25" s="15" t="s">
        <v>432</v>
      </c>
      <c r="E25" s="15" t="s">
        <v>433</v>
      </c>
      <c r="F25" s="15" t="s">
        <v>434</v>
      </c>
      <c r="G25" s="17" t="s">
        <v>30</v>
      </c>
      <c r="H25" s="5" t="s">
        <v>391</v>
      </c>
    </row>
    <row r="26" customFormat="false" ht="23.25" hidden="false" customHeight="true" outlineLevel="0" collapsed="false">
      <c r="A26" s="15" t="s">
        <v>435</v>
      </c>
      <c r="B26" s="19" t="s">
        <v>386</v>
      </c>
      <c r="C26" s="15" t="s">
        <v>436</v>
      </c>
      <c r="D26" s="15" t="s">
        <v>437</v>
      </c>
      <c r="E26" s="15" t="s">
        <v>438</v>
      </c>
      <c r="F26" s="15" t="s">
        <v>439</v>
      </c>
      <c r="G26" s="17" t="s">
        <v>30</v>
      </c>
      <c r="H26" s="5" t="s">
        <v>391</v>
      </c>
    </row>
    <row r="27" customFormat="false" ht="23.25" hidden="false" customHeight="true" outlineLevel="0" collapsed="false">
      <c r="A27" s="15" t="s">
        <v>440</v>
      </c>
      <c r="B27" s="19" t="s">
        <v>386</v>
      </c>
      <c r="C27" s="15" t="s">
        <v>441</v>
      </c>
      <c r="D27" s="15" t="s">
        <v>442</v>
      </c>
      <c r="E27" s="15" t="s">
        <v>443</v>
      </c>
      <c r="F27" s="15" t="s">
        <v>444</v>
      </c>
      <c r="G27" s="18" t="s">
        <v>68</v>
      </c>
      <c r="H27" s="5" t="s">
        <v>391</v>
      </c>
    </row>
    <row r="28" customFormat="false" ht="34.5" hidden="false" customHeight="true" outlineLevel="0" collapsed="false">
      <c r="A28" s="15" t="s">
        <v>445</v>
      </c>
      <c r="B28" s="19" t="s">
        <v>386</v>
      </c>
      <c r="C28" s="15" t="s">
        <v>118</v>
      </c>
      <c r="D28" s="15" t="s">
        <v>446</v>
      </c>
      <c r="E28" s="15" t="s">
        <v>447</v>
      </c>
      <c r="F28" s="15" t="s">
        <v>448</v>
      </c>
      <c r="G28" s="17" t="s">
        <v>30</v>
      </c>
      <c r="H28" s="5" t="s">
        <v>391</v>
      </c>
    </row>
    <row r="29" customFormat="false" ht="23.25" hidden="false" customHeight="true" outlineLevel="0" collapsed="false">
      <c r="A29" s="15" t="s">
        <v>449</v>
      </c>
      <c r="B29" s="19" t="s">
        <v>386</v>
      </c>
      <c r="C29" s="15" t="s">
        <v>42</v>
      </c>
      <c r="D29" s="15" t="s">
        <v>450</v>
      </c>
      <c r="E29" s="15" t="s">
        <v>451</v>
      </c>
      <c r="F29" s="15" t="s">
        <v>452</v>
      </c>
      <c r="G29" s="18" t="s">
        <v>68</v>
      </c>
      <c r="H29" s="5" t="s">
        <v>391</v>
      </c>
    </row>
    <row r="30" customFormat="false" ht="34.5" hidden="false" customHeight="true" outlineLevel="0" collapsed="false">
      <c r="A30" s="15" t="s">
        <v>453</v>
      </c>
      <c r="B30" s="21" t="s">
        <v>454</v>
      </c>
      <c r="C30" s="15" t="s">
        <v>455</v>
      </c>
      <c r="D30" s="15" t="s">
        <v>456</v>
      </c>
      <c r="E30" s="15" t="s">
        <v>457</v>
      </c>
      <c r="F30" s="15" t="s">
        <v>458</v>
      </c>
      <c r="G30" s="17" t="s">
        <v>30</v>
      </c>
      <c r="H30" s="22" t="s">
        <v>459</v>
      </c>
    </row>
    <row r="33" customFormat="false" ht="15" hidden="false" customHeight="true" outlineLevel="0" collapsed="false">
      <c r="A33" s="13" t="s">
        <v>460</v>
      </c>
    </row>
    <row r="34" customFormat="false" ht="15" hidden="false" customHeight="true" outlineLevel="0" collapsed="false">
      <c r="A34" s="23" t="s">
        <v>391</v>
      </c>
      <c r="B34" s="24" t="n">
        <f aca="false">COUNTIF(H5:H30,A34)</f>
        <v>14</v>
      </c>
    </row>
    <row r="35" customFormat="false" ht="15" hidden="false" customHeight="true" outlineLevel="0" collapsed="false">
      <c r="A35" s="23" t="s">
        <v>379</v>
      </c>
      <c r="B35" s="24" t="n">
        <f aca="false">COUNTIF(H5:H30,A35)</f>
        <v>1</v>
      </c>
    </row>
    <row r="36" customFormat="false" ht="15" hidden="false" customHeight="true" outlineLevel="0" collapsed="false">
      <c r="A36" s="23" t="s">
        <v>333</v>
      </c>
      <c r="B36" s="24" t="n">
        <f aca="false">COUNTIF(H5:H30,A36)</f>
        <v>10</v>
      </c>
    </row>
    <row r="37" customFormat="false" ht="15" hidden="false" customHeight="true" outlineLevel="0" collapsed="false">
      <c r="A37" s="23" t="s">
        <v>459</v>
      </c>
      <c r="B37" s="24" t="n">
        <f aca="false">COUNTIF(H5:H30,A37)</f>
        <v>1</v>
      </c>
    </row>
    <row r="38" customFormat="false" ht="15" hidden="false" customHeight="true" outlineLevel="0" collapsed="false">
      <c r="A38" s="23" t="s">
        <v>461</v>
      </c>
      <c r="B38" s="24" t="n">
        <f aca="false">COUNTA(A5:A30)</f>
        <v>26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2026-06-08T09:54:12Z</dcterms:created>
  <dc:creator>openpyxl</dc:creator>
  <dc:description/>
  <dc:language>en-US</dc:language>
  <cp:lastModifiedBy/>
  <dcterms:modified xsi:type="dcterms:W3CDTF">2026-06-08T10:38:45Z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